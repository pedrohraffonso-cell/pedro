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0C87B1A7-673D-471B-B3EF-82C150F132DB}" xr6:coauthVersionLast="36" xr6:coauthVersionMax="36" xr10:uidLastSave="{00000000-0000-0000-0000-000000000000}"/>
  <bookViews>
    <workbookView xWindow="0" yWindow="0" windowWidth="13365" windowHeight="9285"/>
  </bookViews>
  <sheets>
    <sheet name="MEDIA ANUAL SEM AJUSTE SAZONAL" sheetId="5" r:id="rId1"/>
    <sheet name="MEDIA MENSAL SEM AJUSTE SAZONAL" sheetId="6" r:id="rId2"/>
    <sheet name="MEDIANA MENSAL COM AJUSTE SAZON" sheetId="2" r:id="rId3"/>
    <sheet name="base-pms_spbrasil (1)" sheetId="1" r:id="rId4"/>
  </sheets>
  <calcPr calcId="0"/>
  <pivotCaches>
    <pivotCache cacheId="10" r:id="rId5"/>
  </pivotCaches>
</workbook>
</file>

<file path=xl/calcChain.xml><?xml version="1.0" encoding="utf-8"?>
<calcChain xmlns="http://schemas.openxmlformats.org/spreadsheetml/2006/main">
  <c r="B3" i="2" l="1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2" i="2" a="1"/>
  <c r="B2" i="2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</calcChain>
</file>

<file path=xl/sharedStrings.xml><?xml version="1.0" encoding="utf-8"?>
<sst xmlns="http://schemas.openxmlformats.org/spreadsheetml/2006/main" count="4239" uniqueCount="20">
  <si>
    <t>UF</t>
  </si>
  <si>
    <t>Segmentação</t>
  </si>
  <si>
    <t>indice_atividade_servicos_com_ajuste_sazonal</t>
  </si>
  <si>
    <t>indice_atividade_servicos_sem_ajuste</t>
  </si>
  <si>
    <t>date</t>
  </si>
  <si>
    <t>Brasil</t>
  </si>
  <si>
    <t>Serviços (Total)</t>
  </si>
  <si>
    <t>Serviços prestados às famílias</t>
  </si>
  <si>
    <t>Serviços de informação e comunicação</t>
  </si>
  <si>
    <t>Serviços profissionais, administrativos e complementares</t>
  </si>
  <si>
    <t>Transportes, serviços auxiliares aos transportes e correio</t>
  </si>
  <si>
    <t>Outros serviços</t>
  </si>
  <si>
    <t>São Paulo</t>
  </si>
  <si>
    <t>mês</t>
  </si>
  <si>
    <t>ANO</t>
  </si>
  <si>
    <t>Rótulos de Linha</t>
  </si>
  <si>
    <t>Total Geral</t>
  </si>
  <si>
    <t>Média de indice_atividade_servicos_sem_ajuste</t>
  </si>
  <si>
    <t>MÊS</t>
  </si>
  <si>
    <t>MEDIANA (COM AJUSTE SAZONAL)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</si>
</sst>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[PROVA.xlsx]MEDIA ANUAL SEM AJUSTE SAZONAL!Tabela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MEDIA ANUAL DO INDICE</a:t>
            </a:r>
            <a:r>
              <a:rPr lang="pt-BR" baseline="0"/>
              <a:t> DE BASE FIXA (SEM AJUSTE SAZOMNAL)</a:t>
            </a:r>
          </a:p>
          <a:p>
            <a:pPr>
              <a:defRPr/>
            </a:pPr>
            <a:endParaRPr lang="pt-BR"/>
          </a:p>
          <a:p>
            <a:pPr>
              <a:defRPr/>
            </a:pPr>
            <a:endParaRPr lang="pt-BR"/>
          </a:p>
        </c:rich>
      </c:tx>
      <c:layout>
        <c:manualLayout>
          <c:xMode val="edge"/>
          <c:yMode val="edge"/>
          <c:x val="0.14060009026934819"/>
          <c:y val="8.9295594807405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ANUAL SEM AJUSTE SAZONAL'!$B$3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'MEDIA ANUAL SEM AJUSTE SAZONAL'!$A$4:$A$19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'MEDIA ANUAL SEM AJUSTE SAZONAL'!$B$4:$B$19</c:f>
              <c:numCache>
                <c:formatCode>General</c:formatCode>
                <c:ptCount val="15"/>
                <c:pt idx="0">
                  <c:v>94.38347326388886</c:v>
                </c:pt>
                <c:pt idx="1">
                  <c:v>97.017405138888876</c:v>
                </c:pt>
                <c:pt idx="2">
                  <c:v>99.428357222222246</c:v>
                </c:pt>
                <c:pt idx="3">
                  <c:v>100.24233756944443</c:v>
                </c:pt>
                <c:pt idx="4">
                  <c:v>95.740605347222228</c:v>
                </c:pt>
                <c:pt idx="5">
                  <c:v>92.195494513888931</c:v>
                </c:pt>
                <c:pt idx="6">
                  <c:v>89.093476736111114</c:v>
                </c:pt>
                <c:pt idx="7">
                  <c:v>90.08684520833333</c:v>
                </c:pt>
                <c:pt idx="8">
                  <c:v>92.472847430555561</c:v>
                </c:pt>
                <c:pt idx="9">
                  <c:v>82.663435138888886</c:v>
                </c:pt>
                <c:pt idx="10">
                  <c:v>91.199899583333405</c:v>
                </c:pt>
                <c:pt idx="11">
                  <c:v>99.999999999999972</c:v>
                </c:pt>
                <c:pt idx="12">
                  <c:v>101.31912562500001</c:v>
                </c:pt>
                <c:pt idx="13">
                  <c:v>105.33419229166667</c:v>
                </c:pt>
                <c:pt idx="14">
                  <c:v>105.73218812500004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9-48C5-A0E8-9B3BAEF13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265072"/>
        <c:axId val="1638708000"/>
      </c:barChart>
      <c:catAx>
        <c:axId val="164526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708000"/>
        <c:crosses val="autoZero"/>
        <c:auto val="1"/>
        <c:lblAlgn val="ctr"/>
        <c:lblOffset val="100"/>
        <c:noMultiLvlLbl val="0"/>
      </c:catAx>
      <c:valAx>
        <c:axId val="16387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26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[PROVA.xlsx]MEDIA MENSAL SEM AJUSTE SAZONAL!Tabela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MEDIA</a:t>
            </a:r>
            <a:r>
              <a:rPr lang="pt-BR" baseline="0"/>
              <a:t> MENSAL DO INDICE DE BASE FIXA (SEM AJUSTE SAZONAL)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MENSAL SEM AJUSTE SAZONAL'!$B$3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'MEDIA MENSAL SEM AJUSTE SAZONAL'!$A$4:$A$16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'MEDIA MENSAL SEM AJUSTE SAZONAL'!$B$4:$B$16</c:f>
              <c:numCache>
                <c:formatCode>General</c:formatCode>
                <c:ptCount val="12"/>
                <c:pt idx="0">
                  <c:v>93.433607444444448</c:v>
                </c:pt>
                <c:pt idx="1">
                  <c:v>88.692832055555542</c:v>
                </c:pt>
                <c:pt idx="2">
                  <c:v>94.942780722222238</c:v>
                </c:pt>
                <c:pt idx="3">
                  <c:v>91.830278499999949</c:v>
                </c:pt>
                <c:pt idx="4">
                  <c:v>93.908773444444506</c:v>
                </c:pt>
                <c:pt idx="5">
                  <c:v>94.176756944444449</c:v>
                </c:pt>
                <c:pt idx="6">
                  <c:v>96.176253611111093</c:v>
                </c:pt>
                <c:pt idx="7">
                  <c:v>97.17433699999998</c:v>
                </c:pt>
                <c:pt idx="8">
                  <c:v>95.636877023809532</c:v>
                </c:pt>
                <c:pt idx="9">
                  <c:v>97.707426428571424</c:v>
                </c:pt>
                <c:pt idx="10">
                  <c:v>97.804592440476213</c:v>
                </c:pt>
                <c:pt idx="11">
                  <c:v>106.34775767857138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F-4BD1-879E-32D3C39B5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714064"/>
        <c:axId val="1637595360"/>
      </c:barChart>
      <c:catAx>
        <c:axId val="16457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7595360"/>
        <c:crosses val="autoZero"/>
        <c:auto val="1"/>
        <c:lblAlgn val="ctr"/>
        <c:lblOffset val="100"/>
        <c:noMultiLvlLbl val="0"/>
      </c:catAx>
      <c:valAx>
        <c:axId val="16375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71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'MEDIANA MENSAL COM AJUSTE SAZON'!$B$1</c:f>
              <c:strCache>
                <c:ptCount val="1"/>
                <c:pt idx="0">
                  <c:v>MEDIANA (COM AJUSTE SAZONAL)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'MEDIANA MENSAL COM AJUSTE SAZON'!$A$2:$A$13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'MEDIANA MENSAL COM AJUSTE SAZON'!$B$2:$B$13</c:f>
              <c:numCache>
                <c:formatCode>General</c:formatCode>
                <c:ptCount val="12"/>
                <c:pt idx="0">
                  <c:v>96.674999999999997</c:v>
                </c:pt>
                <c:pt idx="1">
                  <c:v>97.305000000000007</c:v>
                </c:pt>
                <c:pt idx="2">
                  <c:v>97.174999999999997</c:v>
                </c:pt>
                <c:pt idx="3">
                  <c:v>96.97</c:v>
                </c:pt>
                <c:pt idx="4">
                  <c:v>96.97</c:v>
                </c:pt>
                <c:pt idx="5">
                  <c:v>97.015000000000001</c:v>
                </c:pt>
                <c:pt idx="6">
                  <c:v>95.97999999999999</c:v>
                </c:pt>
                <c:pt idx="7">
                  <c:v>97.7</c:v>
                </c:pt>
                <c:pt idx="8">
                  <c:v>95.960000000000008</c:v>
                </c:pt>
                <c:pt idx="9">
                  <c:v>95.84</c:v>
                </c:pt>
                <c:pt idx="10">
                  <c:v>96.245000000000005</c:v>
                </c:pt>
                <c:pt idx="11">
                  <c:v>96.539999999999992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E-4E7E-A3E3-CAF14E3FA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935360"/>
        <c:axId val="1762671008"/>
      </c:barChart>
      <c:catAx>
        <c:axId val="17629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2671008"/>
        <c:crosses val="autoZero"/>
        <c:auto val="1"/>
        <c:lblAlgn val="ctr"/>
        <c:lblOffset val="100"/>
        <c:noMultiLvlLbl val="0"/>
      </c:catAx>
      <c:valAx>
        <c:axId val="17626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29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1</xdr:row>
      <xdr:rowOff>161925</xdr:rowOff>
    </xdr:from>
    <xdr:to>
      <xdr:col>15</xdr:col>
      <xdr:colOff>19050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3E0DB8-1042-47D6-AA49-D0799E587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1</xdr:row>
      <xdr:rowOff>157162</xdr:rowOff>
    </xdr:from>
    <xdr:to>
      <xdr:col>12</xdr:col>
      <xdr:colOff>180975</xdr:colOff>
      <xdr:row>16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1EA715-6969-4B5A-BBC3-41E42BFA7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</xdr:colOff>
      <xdr:row>1</xdr:row>
      <xdr:rowOff>128587</xdr:rowOff>
    </xdr:from>
    <xdr:to>
      <xdr:col>12</xdr:col>
      <xdr:colOff>471487</xdr:colOff>
      <xdr:row>16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8EF863-563B-430C-B862-906E8C7BD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5988.918207175928" createdVersion="6" refreshedVersion="6" minRefreshableVersion="3" recordCount="2112">
  <cacheSource type="worksheet">
    <worksheetSource name="Tabela1"/>
  </cacheSource>
  <cacheFields count="7">
    <cacheField name="UF" numFmtId="0">
      <sharedItems/>
    </cacheField>
    <cacheField name="Segmentação" numFmtId="0">
      <sharedItems/>
    </cacheField>
    <cacheField name="indice_atividade_servicos_com_ajuste_sazonal" numFmtId="0">
      <sharedItems containsSemiMixedTypes="0" containsString="0" containsNumber="1" minValue="38.78" maxValue="127.54"/>
    </cacheField>
    <cacheField name="indice_atividade_servicos_sem_ajuste" numFmtId="0">
      <sharedItems containsSemiMixedTypes="0" containsString="0" containsNumber="1" minValue="35.639209999999999" maxValue="136.06507999999999"/>
    </cacheField>
    <cacheField name="date" numFmtId="14">
      <sharedItems containsSemiMixedTypes="0" containsNonDate="0" containsDate="1" containsString="0" minDate="2011-01-01T00:00:00" maxDate="2025-08-02T00:00:00"/>
    </cacheField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12">
  <r>
    <s v="Brasil"/>
    <s v="Serviços (Total)"/>
    <n v="88.97"/>
    <n v="84.309899999999999"/>
    <d v="2011-01-01T00:00:00"/>
    <x v="0"/>
    <x v="0"/>
  </r>
  <r>
    <s v="Brasil"/>
    <s v="Serviços (Total)"/>
    <n v="88.76"/>
    <n v="83.759780000000006"/>
    <d v="2011-02-01T00:00:00"/>
    <x v="1"/>
    <x v="0"/>
  </r>
  <r>
    <s v="Brasil"/>
    <s v="Serviços (Total)"/>
    <n v="89.21"/>
    <n v="88.040970000000002"/>
    <d v="2011-03-01T00:00:00"/>
    <x v="2"/>
    <x v="0"/>
  </r>
  <r>
    <s v="Brasil"/>
    <s v="Serviços (Total)"/>
    <n v="89.72"/>
    <n v="87.259249999999994"/>
    <d v="2011-04-01T00:00:00"/>
    <x v="3"/>
    <x v="0"/>
  </r>
  <r>
    <s v="Brasil"/>
    <s v="Serviços (Total)"/>
    <n v="90.4"/>
    <n v="90.326490000000007"/>
    <d v="2011-05-01T00:00:00"/>
    <x v="4"/>
    <x v="0"/>
  </r>
  <r>
    <s v="Brasil"/>
    <s v="Serviços (Total)"/>
    <n v="90.42"/>
    <n v="89.579030000000003"/>
    <d v="2011-06-01T00:00:00"/>
    <x v="5"/>
    <x v="0"/>
  </r>
  <r>
    <s v="Brasil"/>
    <s v="Serviços (Total)"/>
    <n v="91.42"/>
    <n v="91.216149999999999"/>
    <d v="2011-07-01T00:00:00"/>
    <x v="6"/>
    <x v="0"/>
  </r>
  <r>
    <s v="Brasil"/>
    <s v="Serviços (Total)"/>
    <n v="91.4"/>
    <n v="93.359560000000002"/>
    <d v="2011-08-01T00:00:00"/>
    <x v="7"/>
    <x v="0"/>
  </r>
  <r>
    <s v="Brasil"/>
    <s v="Serviços (Total)"/>
    <n v="91.07"/>
    <n v="91.791359999999997"/>
    <d v="2011-09-01T00:00:00"/>
    <x v="8"/>
    <x v="0"/>
  </r>
  <r>
    <s v="Brasil"/>
    <s v="Serviços (Total)"/>
    <n v="89.96"/>
    <n v="91.483080000000001"/>
    <d v="2011-10-01T00:00:00"/>
    <x v="9"/>
    <x v="0"/>
  </r>
  <r>
    <s v="Brasil"/>
    <s v="Serviços (Total)"/>
    <n v="91.49"/>
    <n v="93.147970000000001"/>
    <d v="2011-11-01T00:00:00"/>
    <x v="10"/>
    <x v="0"/>
  </r>
  <r>
    <s v="Brasil"/>
    <s v="Serviços (Total)"/>
    <n v="92.4"/>
    <n v="100.49500999999999"/>
    <d v="2011-12-01T00:00:00"/>
    <x v="11"/>
    <x v="0"/>
  </r>
  <r>
    <s v="Brasil"/>
    <s v="Serviços (Total)"/>
    <n v="92.24"/>
    <n v="88.140699999999995"/>
    <d v="2012-01-01T00:00:00"/>
    <x v="0"/>
    <x v="1"/>
  </r>
  <r>
    <s v="Brasil"/>
    <s v="Serviços (Total)"/>
    <n v="93.35"/>
    <n v="86.656270000000006"/>
    <d v="2012-02-01T00:00:00"/>
    <x v="1"/>
    <x v="1"/>
  </r>
  <r>
    <s v="Brasil"/>
    <s v="Serviços (Total)"/>
    <n v="93.17"/>
    <n v="94.173479999999998"/>
    <d v="2012-03-01T00:00:00"/>
    <x v="2"/>
    <x v="1"/>
  </r>
  <r>
    <s v="Brasil"/>
    <s v="Serviços (Total)"/>
    <n v="92.96"/>
    <n v="89.837360000000004"/>
    <d v="2012-04-01T00:00:00"/>
    <x v="3"/>
    <x v="1"/>
  </r>
  <r>
    <s v="Brasil"/>
    <s v="Serviços (Total)"/>
    <n v="93.77"/>
    <n v="94.545569999999998"/>
    <d v="2012-05-01T00:00:00"/>
    <x v="4"/>
    <x v="1"/>
  </r>
  <r>
    <s v="Brasil"/>
    <s v="Serviços (Total)"/>
    <n v="94"/>
    <n v="92.942890000000006"/>
    <d v="2012-06-01T00:00:00"/>
    <x v="5"/>
    <x v="1"/>
  </r>
  <r>
    <s v="Brasil"/>
    <s v="Serviços (Total)"/>
    <n v="94.19"/>
    <n v="94.299779999999998"/>
    <d v="2012-07-01T00:00:00"/>
    <x v="6"/>
    <x v="1"/>
  </r>
  <r>
    <s v="Brasil"/>
    <s v="Serviços (Total)"/>
    <n v="95.33"/>
    <n v="97.190650000000005"/>
    <d v="2012-08-01T00:00:00"/>
    <x v="7"/>
    <x v="1"/>
  </r>
  <r>
    <s v="Brasil"/>
    <s v="Serviços (Total)"/>
    <n v="94.81"/>
    <n v="94.263919999999999"/>
    <d v="2012-09-01T00:00:00"/>
    <x v="8"/>
    <x v="1"/>
  </r>
  <r>
    <s v="Brasil"/>
    <s v="Serviços (Total)"/>
    <n v="95.03"/>
    <n v="98.120699999999999"/>
    <d v="2012-10-01T00:00:00"/>
    <x v="9"/>
    <x v="1"/>
  </r>
  <r>
    <s v="Brasil"/>
    <s v="Serviços (Total)"/>
    <n v="95.54"/>
    <n v="96.983400000000003"/>
    <d v="2012-11-01T00:00:00"/>
    <x v="10"/>
    <x v="1"/>
  </r>
  <r>
    <s v="Brasil"/>
    <s v="Serviços (Total)"/>
    <n v="96.78"/>
    <n v="103.89676"/>
    <d v="2012-12-01T00:00:00"/>
    <x v="11"/>
    <x v="1"/>
  </r>
  <r>
    <s v="Brasil"/>
    <s v="Serviços (Total)"/>
    <n v="95.83"/>
    <n v="92.545659999999998"/>
    <d v="2013-01-01T00:00:00"/>
    <x v="0"/>
    <x v="2"/>
  </r>
  <r>
    <s v="Brasil"/>
    <s v="Serviços (Total)"/>
    <n v="96.21"/>
    <n v="88.618650000000002"/>
    <d v="2013-02-01T00:00:00"/>
    <x v="1"/>
    <x v="2"/>
  </r>
  <r>
    <s v="Brasil"/>
    <s v="Serviços (Total)"/>
    <n v="96.77"/>
    <n v="95.838880000000003"/>
    <d v="2013-03-01T00:00:00"/>
    <x v="2"/>
    <x v="2"/>
  </r>
  <r>
    <s v="Brasil"/>
    <s v="Serviços (Total)"/>
    <n v="97.78"/>
    <n v="96.945329999999998"/>
    <d v="2013-04-01T00:00:00"/>
    <x v="3"/>
    <x v="2"/>
  </r>
  <r>
    <s v="Brasil"/>
    <s v="Serviços (Total)"/>
    <n v="97.44"/>
    <n v="97.9148"/>
    <d v="2013-05-01T00:00:00"/>
    <x v="4"/>
    <x v="2"/>
  </r>
  <r>
    <s v="Brasil"/>
    <s v="Serviços (Total)"/>
    <n v="98.63"/>
    <n v="96.800870000000003"/>
    <d v="2013-06-01T00:00:00"/>
    <x v="5"/>
    <x v="2"/>
  </r>
  <r>
    <s v="Brasil"/>
    <s v="Serviços (Total)"/>
    <n v="98.2"/>
    <n v="99.277029999999996"/>
    <d v="2013-07-01T00:00:00"/>
    <x v="6"/>
    <x v="2"/>
  </r>
  <r>
    <s v="Brasil"/>
    <s v="Serviços (Total)"/>
    <n v="97.97"/>
    <n v="99.333730000000003"/>
    <d v="2013-08-01T00:00:00"/>
    <x v="7"/>
    <x v="2"/>
  </r>
  <r>
    <s v="Brasil"/>
    <s v="Serviços (Total)"/>
    <n v="98.97"/>
    <n v="98.932649999999995"/>
    <d v="2013-09-01T00:00:00"/>
    <x v="8"/>
    <x v="2"/>
  </r>
  <r>
    <s v="Brasil"/>
    <s v="Serviços (Total)"/>
    <n v="99.3"/>
    <n v="102.21061"/>
    <d v="2013-10-01T00:00:00"/>
    <x v="9"/>
    <x v="2"/>
  </r>
  <r>
    <s v="Brasil"/>
    <s v="Serviços (Total)"/>
    <n v="99.99"/>
    <n v="101.19192"/>
    <d v="2013-11-01T00:00:00"/>
    <x v="10"/>
    <x v="2"/>
  </r>
  <r>
    <s v="Brasil"/>
    <s v="Serviços (Total)"/>
    <n v="100.09"/>
    <n v="107.58205"/>
    <d v="2013-12-01T00:00:00"/>
    <x v="11"/>
    <x v="2"/>
  </r>
  <r>
    <s v="Brasil"/>
    <s v="Serviços (Total)"/>
    <n v="100.86"/>
    <n v="97.630660000000006"/>
    <d v="2014-01-01T00:00:00"/>
    <x v="0"/>
    <x v="3"/>
  </r>
  <r>
    <s v="Brasil"/>
    <s v="Serviços (Total)"/>
    <n v="100.41"/>
    <n v="94.77919"/>
    <d v="2014-02-01T00:00:00"/>
    <x v="1"/>
    <x v="3"/>
  </r>
  <r>
    <s v="Brasil"/>
    <s v="Serviços (Total)"/>
    <n v="100.18"/>
    <n v="98.554590000000005"/>
    <d v="2014-03-01T00:00:00"/>
    <x v="2"/>
    <x v="3"/>
  </r>
  <r>
    <s v="Brasil"/>
    <s v="Serviços (Total)"/>
    <n v="100.68"/>
    <n v="98.575109999999995"/>
    <d v="2014-04-01T00:00:00"/>
    <x v="3"/>
    <x v="3"/>
  </r>
  <r>
    <s v="Brasil"/>
    <s v="Serviços (Total)"/>
    <n v="100.42"/>
    <n v="100.64206"/>
    <d v="2014-05-01T00:00:00"/>
    <x v="4"/>
    <x v="3"/>
  </r>
  <r>
    <s v="Brasil"/>
    <s v="Serviços (Total)"/>
    <n v="99.91"/>
    <n v="98.270290000000003"/>
    <d v="2014-06-01T00:00:00"/>
    <x v="5"/>
    <x v="3"/>
  </r>
  <r>
    <s v="Brasil"/>
    <s v="Serviços (Total)"/>
    <n v="100.37"/>
    <n v="101.36623"/>
    <d v="2014-07-01T00:00:00"/>
    <x v="6"/>
    <x v="3"/>
  </r>
  <r>
    <s v="Brasil"/>
    <s v="Serviços (Total)"/>
    <n v="100.16"/>
    <n v="100.76381000000001"/>
    <d v="2014-08-01T00:00:00"/>
    <x v="7"/>
    <x v="3"/>
  </r>
  <r>
    <s v="Brasil"/>
    <s v="Serviços (Total)"/>
    <n v="100.91"/>
    <n v="101.9635"/>
    <d v="2014-09-01T00:00:00"/>
    <x v="8"/>
    <x v="3"/>
  </r>
  <r>
    <s v="Brasil"/>
    <s v="Serviços (Total)"/>
    <n v="101.4"/>
    <n v="104.23927"/>
    <d v="2014-10-01T00:00:00"/>
    <x v="9"/>
    <x v="3"/>
  </r>
  <r>
    <s v="Brasil"/>
    <s v="Serviços (Total)"/>
    <n v="102.08"/>
    <n v="102.23443"/>
    <d v="2014-11-01T00:00:00"/>
    <x v="10"/>
    <x v="3"/>
  </r>
  <r>
    <s v="Brasil"/>
    <s v="Serviços (Total)"/>
    <n v="99.78"/>
    <n v="108.13736"/>
    <d v="2014-12-01T00:00:00"/>
    <x v="11"/>
    <x v="3"/>
  </r>
  <r>
    <s v="Brasil"/>
    <s v="Serviços (Total)"/>
    <n v="98.32"/>
    <n v="94.603790000000004"/>
    <d v="2015-01-01T00:00:00"/>
    <x v="0"/>
    <x v="4"/>
  </r>
  <r>
    <s v="Brasil"/>
    <s v="Serviços (Total)"/>
    <n v="98.69"/>
    <n v="91.125579999999999"/>
    <d v="2015-02-01T00:00:00"/>
    <x v="1"/>
    <x v="4"/>
  </r>
  <r>
    <s v="Brasil"/>
    <s v="Serviços (Total)"/>
    <n v="99.91"/>
    <n v="100.82026999999999"/>
    <d v="2015-03-01T00:00:00"/>
    <x v="2"/>
    <x v="4"/>
  </r>
  <r>
    <s v="Brasil"/>
    <s v="Serviços (Total)"/>
    <n v="98.27"/>
    <n v="95.752849999999995"/>
    <d v="2015-04-01T00:00:00"/>
    <x v="3"/>
    <x v="4"/>
  </r>
  <r>
    <s v="Brasil"/>
    <s v="Serviços (Total)"/>
    <n v="98.03"/>
    <n v="97.48066"/>
    <d v="2015-05-01T00:00:00"/>
    <x v="4"/>
    <x v="4"/>
  </r>
  <r>
    <s v="Brasil"/>
    <s v="Serviços (Total)"/>
    <n v="96.5"/>
    <n v="96.081559999999996"/>
    <d v="2015-06-01T00:00:00"/>
    <x v="5"/>
    <x v="4"/>
  </r>
  <r>
    <s v="Brasil"/>
    <s v="Serviços (Total)"/>
    <n v="95.97"/>
    <n v="97.080740000000006"/>
    <d v="2015-07-01T00:00:00"/>
    <x v="6"/>
    <x v="4"/>
  </r>
  <r>
    <s v="Brasil"/>
    <s v="Serviços (Total)"/>
    <n v="96.8"/>
    <n v="97.223429999999993"/>
    <d v="2015-08-01T00:00:00"/>
    <x v="7"/>
    <x v="4"/>
  </r>
  <r>
    <s v="Brasil"/>
    <s v="Serviços (Total)"/>
    <n v="95.84"/>
    <n v="97.072699999999998"/>
    <d v="2015-09-01T00:00:00"/>
    <x v="8"/>
    <x v="4"/>
  </r>
  <r>
    <s v="Brasil"/>
    <s v="Serviços (Total)"/>
    <n v="96.03"/>
    <n v="98.164529999999999"/>
    <d v="2015-10-01T00:00:00"/>
    <x v="9"/>
    <x v="4"/>
  </r>
  <r>
    <s v="Brasil"/>
    <s v="Serviços (Total)"/>
    <n v="95.17"/>
    <n v="95.715459999999993"/>
    <d v="2015-11-01T00:00:00"/>
    <x v="10"/>
    <x v="4"/>
  </r>
  <r>
    <s v="Brasil"/>
    <s v="Serviços (Total)"/>
    <n v="94.48"/>
    <n v="102.69431"/>
    <d v="2015-12-01T00:00:00"/>
    <x v="11"/>
    <x v="4"/>
  </r>
  <r>
    <s v="Brasil"/>
    <s v="Serviços (Total)"/>
    <n v="94.27"/>
    <n v="89.875209999999996"/>
    <d v="2016-01-01T00:00:00"/>
    <x v="0"/>
    <x v="5"/>
  </r>
  <r>
    <s v="Brasil"/>
    <s v="Serviços (Total)"/>
    <n v="94.42"/>
    <n v="87.590249999999997"/>
    <d v="2016-02-01T00:00:00"/>
    <x v="1"/>
    <x v="5"/>
  </r>
  <r>
    <s v="Brasil"/>
    <s v="Serviços (Total)"/>
    <n v="94.49"/>
    <n v="94.868369999999999"/>
    <d v="2016-03-01T00:00:00"/>
    <x v="2"/>
    <x v="5"/>
  </r>
  <r>
    <s v="Brasil"/>
    <s v="Serviços (Total)"/>
    <n v="92.61"/>
    <n v="91.180019999999999"/>
    <d v="2016-04-01T00:00:00"/>
    <x v="3"/>
    <x v="5"/>
  </r>
  <r>
    <s v="Brasil"/>
    <s v="Serviços (Total)"/>
    <n v="92.69"/>
    <n v="91.578559999999996"/>
    <d v="2016-05-01T00:00:00"/>
    <x v="4"/>
    <x v="5"/>
  </r>
  <r>
    <s v="Brasil"/>
    <s v="Serviços (Total)"/>
    <n v="92.31"/>
    <n v="92.819820000000007"/>
    <d v="2016-06-01T00:00:00"/>
    <x v="5"/>
    <x v="5"/>
  </r>
  <r>
    <s v="Brasil"/>
    <s v="Serviços (Total)"/>
    <n v="92.81"/>
    <n v="92.749139999999997"/>
    <d v="2016-07-01T00:00:00"/>
    <x v="6"/>
    <x v="5"/>
  </r>
  <r>
    <s v="Brasil"/>
    <s v="Serviços (Total)"/>
    <n v="91.44"/>
    <n v="93.398920000000004"/>
    <d v="2016-08-01T00:00:00"/>
    <x v="7"/>
    <x v="5"/>
  </r>
  <r>
    <s v="Brasil"/>
    <s v="Serviços (Total)"/>
    <n v="91.33"/>
    <n v="92.340770000000006"/>
    <d v="2016-09-01T00:00:00"/>
    <x v="8"/>
    <x v="5"/>
  </r>
  <r>
    <s v="Brasil"/>
    <s v="Serviços (Total)"/>
    <n v="89.63"/>
    <n v="90.688299999999998"/>
    <d v="2016-10-01T00:00:00"/>
    <x v="9"/>
    <x v="5"/>
  </r>
  <r>
    <s v="Brasil"/>
    <s v="Serviços (Total)"/>
    <n v="89.59"/>
    <n v="91.290040000000005"/>
    <d v="2016-11-01T00:00:00"/>
    <x v="10"/>
    <x v="5"/>
  </r>
  <r>
    <s v="Brasil"/>
    <s v="Serviços (Total)"/>
    <n v="88.97"/>
    <n v="96.825640000000007"/>
    <d v="2016-12-01T00:00:00"/>
    <x v="11"/>
    <x v="5"/>
  </r>
  <r>
    <s v="Brasil"/>
    <s v="Serviços (Total)"/>
    <n v="90.74"/>
    <n v="86.702290000000005"/>
    <d v="2017-01-01T00:00:00"/>
    <x v="0"/>
    <x v="6"/>
  </r>
  <r>
    <s v="Brasil"/>
    <s v="Serviços (Total)"/>
    <n v="90.61"/>
    <n v="82.920879999999997"/>
    <d v="2017-02-01T00:00:00"/>
    <x v="1"/>
    <x v="6"/>
  </r>
  <r>
    <s v="Brasil"/>
    <s v="Serviços (Total)"/>
    <n v="88.24"/>
    <n v="89.890529999999998"/>
    <d v="2017-03-01T00:00:00"/>
    <x v="2"/>
    <x v="6"/>
  </r>
  <r>
    <s v="Brasil"/>
    <s v="Serviços (Total)"/>
    <n v="89.9"/>
    <n v="85.941890000000001"/>
    <d v="2017-04-01T00:00:00"/>
    <x v="3"/>
    <x v="6"/>
  </r>
  <r>
    <s v="Brasil"/>
    <s v="Serviços (Total)"/>
    <n v="88.98"/>
    <n v="89.814319999999995"/>
    <d v="2017-05-01T00:00:00"/>
    <x v="4"/>
    <x v="6"/>
  </r>
  <r>
    <s v="Brasil"/>
    <s v="Serviços (Total)"/>
    <n v="90.22"/>
    <n v="90.055490000000006"/>
    <d v="2017-06-01T00:00:00"/>
    <x v="5"/>
    <x v="6"/>
  </r>
  <r>
    <s v="Brasil"/>
    <s v="Serviços (Total)"/>
    <n v="89.99"/>
    <n v="89.754670000000004"/>
    <d v="2017-07-01T00:00:00"/>
    <x v="6"/>
    <x v="6"/>
  </r>
  <r>
    <s v="Brasil"/>
    <s v="Serviços (Total)"/>
    <n v="89.18"/>
    <n v="91.012429999999995"/>
    <d v="2017-08-01T00:00:00"/>
    <x v="7"/>
    <x v="6"/>
  </r>
  <r>
    <s v="Brasil"/>
    <s v="Serviços (Total)"/>
    <n v="88.62"/>
    <n v="89.394850000000005"/>
    <d v="2017-09-01T00:00:00"/>
    <x v="8"/>
    <x v="6"/>
  </r>
  <r>
    <s v="Brasil"/>
    <s v="Serviços (Total)"/>
    <n v="88.89"/>
    <n v="90.35642"/>
    <d v="2017-10-01T00:00:00"/>
    <x v="9"/>
    <x v="6"/>
  </r>
  <r>
    <s v="Brasil"/>
    <s v="Serviços (Total)"/>
    <n v="89.14"/>
    <n v="90.669960000000003"/>
    <d v="2017-11-01T00:00:00"/>
    <x v="10"/>
    <x v="6"/>
  </r>
  <r>
    <s v="Brasil"/>
    <s v="Serviços (Total)"/>
    <n v="90.1"/>
    <n v="97.366919999999993"/>
    <d v="2017-12-01T00:00:00"/>
    <x v="11"/>
    <x v="6"/>
  </r>
  <r>
    <s v="Brasil"/>
    <s v="Serviços (Total)"/>
    <n v="88.45"/>
    <n v="85.417519999999996"/>
    <d v="2018-01-01T00:00:00"/>
    <x v="0"/>
    <x v="7"/>
  </r>
  <r>
    <s v="Brasil"/>
    <s v="Serviços (Total)"/>
    <n v="88.81"/>
    <n v="81.027159999999995"/>
    <d v="2018-02-01T00:00:00"/>
    <x v="1"/>
    <x v="7"/>
  </r>
  <r>
    <s v="Brasil"/>
    <s v="Serviços (Total)"/>
    <n v="89.39"/>
    <n v="89.084460000000007"/>
    <d v="2018-03-01T00:00:00"/>
    <x v="2"/>
    <x v="7"/>
  </r>
  <r>
    <s v="Brasil"/>
    <s v="Serviços (Total)"/>
    <n v="90.05"/>
    <n v="87.678820000000002"/>
    <d v="2018-04-01T00:00:00"/>
    <x v="3"/>
    <x v="7"/>
  </r>
  <r>
    <s v="Brasil"/>
    <s v="Serviços (Total)"/>
    <n v="85.8"/>
    <n v="86.422470000000004"/>
    <d v="2018-05-01T00:00:00"/>
    <x v="4"/>
    <x v="7"/>
  </r>
  <r>
    <s v="Brasil"/>
    <s v="Serviços (Total)"/>
    <n v="91.2"/>
    <n v="90.936250000000001"/>
    <d v="2018-06-01T00:00:00"/>
    <x v="5"/>
    <x v="7"/>
  </r>
  <r>
    <s v="Brasil"/>
    <s v="Serviços (Total)"/>
    <n v="89.34"/>
    <n v="89.667100000000005"/>
    <d v="2018-07-01T00:00:00"/>
    <x v="6"/>
    <x v="7"/>
  </r>
  <r>
    <s v="Brasil"/>
    <s v="Serviços (Total)"/>
    <n v="90.64"/>
    <n v="92.527109999999993"/>
    <d v="2018-08-01T00:00:00"/>
    <x v="7"/>
    <x v="7"/>
  </r>
  <r>
    <s v="Brasil"/>
    <s v="Serviços (Total)"/>
    <n v="90.14"/>
    <n v="89.805970000000002"/>
    <d v="2018-09-01T00:00:00"/>
    <x v="8"/>
    <x v="7"/>
  </r>
  <r>
    <s v="Brasil"/>
    <s v="Serviços (Total)"/>
    <n v="89.29"/>
    <n v="91.715879999999999"/>
    <d v="2018-10-01T00:00:00"/>
    <x v="9"/>
    <x v="7"/>
  </r>
  <r>
    <s v="Brasil"/>
    <s v="Serviços (Total)"/>
    <n v="89.66"/>
    <n v="91.478870000000001"/>
    <d v="2018-11-01T00:00:00"/>
    <x v="10"/>
    <x v="7"/>
  </r>
  <r>
    <s v="Brasil"/>
    <s v="Serviços (Total)"/>
    <n v="90.48"/>
    <n v="97.757779999999997"/>
    <d v="2018-12-01T00:00:00"/>
    <x v="11"/>
    <x v="7"/>
  </r>
  <r>
    <s v="Brasil"/>
    <s v="Serviços (Total)"/>
    <n v="90.28"/>
    <n v="87.086119999999994"/>
    <d v="2019-01-01T00:00:00"/>
    <x v="0"/>
    <x v="8"/>
  </r>
  <r>
    <s v="Brasil"/>
    <s v="Serviços (Total)"/>
    <n v="89.43"/>
    <n v="84.122159999999994"/>
    <d v="2019-02-01T00:00:00"/>
    <x v="1"/>
    <x v="8"/>
  </r>
  <r>
    <s v="Brasil"/>
    <s v="Serviços (Total)"/>
    <n v="89.45"/>
    <n v="87.011139999999997"/>
    <d v="2019-03-01T00:00:00"/>
    <x v="2"/>
    <x v="8"/>
  </r>
  <r>
    <s v="Brasil"/>
    <s v="Serviços (Total)"/>
    <n v="89.93"/>
    <n v="87.078890000000001"/>
    <d v="2019-04-01T00:00:00"/>
    <x v="3"/>
    <x v="8"/>
  </r>
  <r>
    <s v="Brasil"/>
    <s v="Serviços (Total)"/>
    <n v="90"/>
    <n v="90.568449999999999"/>
    <d v="2019-05-01T00:00:00"/>
    <x v="4"/>
    <x v="8"/>
  </r>
  <r>
    <s v="Brasil"/>
    <s v="Serviços (Total)"/>
    <n v="88.99"/>
    <n v="87.731009999999998"/>
    <d v="2019-06-01T00:00:00"/>
    <x v="5"/>
    <x v="8"/>
  </r>
  <r>
    <s v="Brasil"/>
    <s v="Serviços (Total)"/>
    <n v="90"/>
    <n v="91.288380000000004"/>
    <d v="2019-07-01T00:00:00"/>
    <x v="6"/>
    <x v="8"/>
  </r>
  <r>
    <s v="Brasil"/>
    <s v="Serviços (Total)"/>
    <n v="89.82"/>
    <n v="91.318060000000003"/>
    <d v="2019-08-01T00:00:00"/>
    <x v="7"/>
    <x v="8"/>
  </r>
  <r>
    <s v="Brasil"/>
    <s v="Serviços (Total)"/>
    <n v="91.15"/>
    <n v="91.266270000000006"/>
    <d v="2019-09-01T00:00:00"/>
    <x v="8"/>
    <x v="8"/>
  </r>
  <r>
    <s v="Brasil"/>
    <s v="Serviços (Total)"/>
    <n v="91.99"/>
    <n v="94.293120000000002"/>
    <d v="2019-10-01T00:00:00"/>
    <x v="9"/>
    <x v="8"/>
  </r>
  <r>
    <s v="Brasil"/>
    <s v="Serviços (Total)"/>
    <n v="91.42"/>
    <n v="93.185130000000001"/>
    <d v="2019-11-01T00:00:00"/>
    <x v="10"/>
    <x v="8"/>
  </r>
  <r>
    <s v="Brasil"/>
    <s v="Serviços (Total)"/>
    <n v="91.26"/>
    <n v="99.249650000000003"/>
    <d v="2019-12-01T00:00:00"/>
    <x v="11"/>
    <x v="8"/>
  </r>
  <r>
    <s v="Brasil"/>
    <s v="Serviços (Total)"/>
    <n v="91.74"/>
    <n v="88.520160000000004"/>
    <d v="2020-01-01T00:00:00"/>
    <x v="0"/>
    <x v="9"/>
  </r>
  <r>
    <s v="Brasil"/>
    <s v="Serviços (Total)"/>
    <n v="92.28"/>
    <n v="84.613489999999999"/>
    <d v="2020-02-01T00:00:00"/>
    <x v="1"/>
    <x v="9"/>
  </r>
  <r>
    <s v="Brasil"/>
    <s v="Serviços (Total)"/>
    <n v="84.12"/>
    <n v="84.583709999999996"/>
    <d v="2020-03-01T00:00:00"/>
    <x v="2"/>
    <x v="9"/>
  </r>
  <r>
    <s v="Brasil"/>
    <s v="Serviços (Total)"/>
    <n v="75.31"/>
    <n v="72.049499999999995"/>
    <d v="2020-04-01T00:00:00"/>
    <x v="3"/>
    <x v="9"/>
  </r>
  <r>
    <s v="Brasil"/>
    <s v="Serviços (Total)"/>
    <n v="73.84"/>
    <n v="73.056449999999998"/>
    <d v="2020-05-01T00:00:00"/>
    <x v="4"/>
    <x v="9"/>
  </r>
  <r>
    <s v="Brasil"/>
    <s v="Serviços (Total)"/>
    <n v="76.88"/>
    <n v="77.002459999999999"/>
    <d v="2020-06-01T00:00:00"/>
    <x v="5"/>
    <x v="9"/>
  </r>
  <r>
    <s v="Brasil"/>
    <s v="Serviços (Total)"/>
    <n v="79.06"/>
    <n v="80.352289999999996"/>
    <d v="2020-07-01T00:00:00"/>
    <x v="6"/>
    <x v="9"/>
  </r>
  <r>
    <s v="Brasil"/>
    <s v="Serviços (Total)"/>
    <n v="81.37"/>
    <n v="82.156189999999995"/>
    <d v="2020-08-01T00:00:00"/>
    <x v="7"/>
    <x v="9"/>
  </r>
  <r>
    <s v="Brasil"/>
    <s v="Serviços (Total)"/>
    <n v="83.61"/>
    <n v="84.876850000000005"/>
    <d v="2020-09-01T00:00:00"/>
    <x v="8"/>
    <x v="9"/>
  </r>
  <r>
    <s v="Brasil"/>
    <s v="Serviços (Total)"/>
    <n v="85.46"/>
    <n v="87.340090000000004"/>
    <d v="2020-10-01T00:00:00"/>
    <x v="9"/>
    <x v="9"/>
  </r>
  <r>
    <s v="Brasil"/>
    <s v="Serviços (Total)"/>
    <n v="87.32"/>
    <n v="88.545400000000001"/>
    <d v="2020-11-01T00:00:00"/>
    <x v="10"/>
    <x v="9"/>
  </r>
  <r>
    <s v="Brasil"/>
    <s v="Serviços (Total)"/>
    <n v="87.25"/>
    <n v="96.178340000000006"/>
    <d v="2020-12-01T00:00:00"/>
    <x v="11"/>
    <x v="9"/>
  </r>
  <r>
    <s v="Brasil"/>
    <s v="Serviços (Total)"/>
    <n v="88.61"/>
    <n v="84.063479999999998"/>
    <d v="2021-01-01T00:00:00"/>
    <x v="0"/>
    <x v="10"/>
  </r>
  <r>
    <s v="Brasil"/>
    <s v="Serviços (Total)"/>
    <n v="91.26"/>
    <n v="83.053070000000005"/>
    <d v="2021-02-01T00:00:00"/>
    <x v="1"/>
    <x v="10"/>
  </r>
  <r>
    <s v="Brasil"/>
    <s v="Serviços (Total)"/>
    <n v="86.99"/>
    <n v="88.466380000000001"/>
    <d v="2021-03-01T00:00:00"/>
    <x v="2"/>
    <x v="10"/>
  </r>
  <r>
    <s v="Brasil"/>
    <s v="Serviços (Total)"/>
    <n v="89.99"/>
    <n v="86.555509999999998"/>
    <d v="2021-04-01T00:00:00"/>
    <x v="3"/>
    <x v="10"/>
  </r>
  <r>
    <s v="Brasil"/>
    <s v="Serviços (Total)"/>
    <n v="91.21"/>
    <n v="90.054400000000001"/>
    <d v="2021-05-01T00:00:00"/>
    <x v="4"/>
    <x v="10"/>
  </r>
  <r>
    <s v="Brasil"/>
    <s v="Serviços (Total)"/>
    <n v="93.01"/>
    <n v="93.248440000000002"/>
    <d v="2021-06-01T00:00:00"/>
    <x v="5"/>
    <x v="10"/>
  </r>
  <r>
    <s v="Brasil"/>
    <s v="Serviços (Total)"/>
    <n v="93.65"/>
    <n v="94.650829999999999"/>
    <d v="2021-07-01T00:00:00"/>
    <x v="6"/>
    <x v="10"/>
  </r>
  <r>
    <s v="Brasil"/>
    <s v="Serviços (Total)"/>
    <n v="94.25"/>
    <n v="95.771749999999997"/>
    <d v="2021-08-01T00:00:00"/>
    <x v="7"/>
    <x v="10"/>
  </r>
  <r>
    <s v="Brasil"/>
    <s v="Serviços (Total)"/>
    <n v="93.55"/>
    <n v="94.659689999999998"/>
    <d v="2021-09-01T00:00:00"/>
    <x v="8"/>
    <x v="10"/>
  </r>
  <r>
    <s v="Brasil"/>
    <s v="Serviços (Total)"/>
    <n v="92.64"/>
    <n v="93.723020000000005"/>
    <d v="2021-10-01T00:00:00"/>
    <x v="9"/>
    <x v="10"/>
  </r>
  <r>
    <s v="Brasil"/>
    <s v="Serviços (Total)"/>
    <n v="95.32"/>
    <n v="97.597729999999999"/>
    <d v="2021-11-01T00:00:00"/>
    <x v="10"/>
    <x v="10"/>
  </r>
  <r>
    <s v="Brasil"/>
    <s v="Serviços (Total)"/>
    <n v="97.68"/>
    <n v="106.68322000000001"/>
    <d v="2021-12-01T00:00:00"/>
    <x v="11"/>
    <x v="10"/>
  </r>
  <r>
    <s v="Brasil"/>
    <s v="Serviços (Total)"/>
    <n v="96.79"/>
    <n v="91.924570000000003"/>
    <d v="2022-01-01T00:00:00"/>
    <x v="0"/>
    <x v="11"/>
  </r>
  <r>
    <s v="Brasil"/>
    <s v="Serviços (Total)"/>
    <n v="97.53"/>
    <n v="89.202780000000004"/>
    <d v="2022-02-01T00:00:00"/>
    <x v="1"/>
    <x v="11"/>
  </r>
  <r>
    <s v="Brasil"/>
    <s v="Serviços (Total)"/>
    <n v="97.3"/>
    <n v="98.697900000000004"/>
    <d v="2022-03-01T00:00:00"/>
    <x v="2"/>
    <x v="11"/>
  </r>
  <r>
    <s v="Brasil"/>
    <s v="Serviços (Total)"/>
    <n v="98.55"/>
    <n v="94.672790000000006"/>
    <d v="2022-04-01T00:00:00"/>
    <x v="3"/>
    <x v="11"/>
  </r>
  <r>
    <s v="Brasil"/>
    <s v="Serviços (Total)"/>
    <n v="99.08"/>
    <n v="98.228949999999998"/>
    <d v="2022-05-01T00:00:00"/>
    <x v="4"/>
    <x v="11"/>
  </r>
  <r>
    <s v="Brasil"/>
    <s v="Serviços (Total)"/>
    <n v="99.17"/>
    <n v="99.225160000000002"/>
    <d v="2022-06-01T00:00:00"/>
    <x v="5"/>
    <x v="11"/>
  </r>
  <r>
    <s v="Brasil"/>
    <s v="Serviços (Total)"/>
    <n v="99.95"/>
    <n v="100.58128000000001"/>
    <d v="2022-07-01T00:00:00"/>
    <x v="6"/>
    <x v="11"/>
  </r>
  <r>
    <s v="Brasil"/>
    <s v="Serviços (Total)"/>
    <n v="101.47"/>
    <n v="104.10478000000001"/>
    <d v="2022-08-01T00:00:00"/>
    <x v="7"/>
    <x v="11"/>
  </r>
  <r>
    <s v="Brasil"/>
    <s v="Serviços (Total)"/>
    <n v="102.33"/>
    <n v="103.55595"/>
    <d v="2022-09-01T00:00:00"/>
    <x v="8"/>
    <x v="11"/>
  </r>
  <r>
    <s v="Brasil"/>
    <s v="Serviços (Total)"/>
    <n v="102.02"/>
    <n v="102.81034"/>
    <d v="2022-10-01T00:00:00"/>
    <x v="9"/>
    <x v="11"/>
  </r>
  <r>
    <s v="Brasil"/>
    <s v="Serviços (Total)"/>
    <n v="101.63"/>
    <n v="103.94298000000001"/>
    <d v="2022-11-01T00:00:00"/>
    <x v="10"/>
    <x v="11"/>
  </r>
  <r>
    <s v="Brasil"/>
    <s v="Serviços (Total)"/>
    <n v="104.47"/>
    <n v="113.05252"/>
    <d v="2022-12-01T00:00:00"/>
    <x v="11"/>
    <x v="11"/>
  </r>
  <r>
    <s v="Brasil"/>
    <s v="Serviços (Total)"/>
    <n v="101.13"/>
    <n v="96.638149999999996"/>
    <d v="2023-01-01T00:00:00"/>
    <x v="0"/>
    <x v="12"/>
  </r>
  <r>
    <s v="Brasil"/>
    <s v="Serviços (Total)"/>
    <n v="101.8"/>
    <n v="93.402439999999999"/>
    <d v="2023-02-01T00:00:00"/>
    <x v="1"/>
    <x v="12"/>
  </r>
  <r>
    <s v="Brasil"/>
    <s v="Serviços (Total)"/>
    <n v="103.63"/>
    <n v="105.08354"/>
    <d v="2023-03-01T00:00:00"/>
    <x v="2"/>
    <x v="12"/>
  </r>
  <r>
    <s v="Brasil"/>
    <s v="Serviços (Total)"/>
    <n v="102.25"/>
    <n v="97.248140000000006"/>
    <d v="2023-04-01T00:00:00"/>
    <x v="3"/>
    <x v="12"/>
  </r>
  <r>
    <s v="Brasil"/>
    <s v="Serviços (Total)"/>
    <n v="103.29"/>
    <n v="103.26822"/>
    <d v="2023-05-01T00:00:00"/>
    <x v="4"/>
    <x v="12"/>
  </r>
  <r>
    <s v="Brasil"/>
    <s v="Serviços (Total)"/>
    <n v="103.17"/>
    <n v="103.44944"/>
    <d v="2023-06-01T00:00:00"/>
    <x v="5"/>
    <x v="12"/>
  </r>
  <r>
    <s v="Brasil"/>
    <s v="Serviços (Total)"/>
    <n v="103.73"/>
    <n v="104.40512"/>
    <d v="2023-07-01T00:00:00"/>
    <x v="6"/>
    <x v="12"/>
  </r>
  <r>
    <s v="Brasil"/>
    <s v="Serviços (Total)"/>
    <n v="103.42"/>
    <n v="105.996"/>
    <d v="2023-08-01T00:00:00"/>
    <x v="7"/>
    <x v="12"/>
  </r>
  <r>
    <s v="Brasil"/>
    <s v="Serviços (Total)"/>
    <n v="102.55"/>
    <n v="103.64494000000001"/>
    <d v="2023-09-01T00:00:00"/>
    <x v="8"/>
    <x v="12"/>
  </r>
  <r>
    <s v="Brasil"/>
    <s v="Serviços (Total)"/>
    <n v="102.6"/>
    <n v="103.82361"/>
    <d v="2023-10-01T00:00:00"/>
    <x v="9"/>
    <x v="12"/>
  </r>
  <r>
    <s v="Brasil"/>
    <s v="Serviços (Total)"/>
    <n v="103.85"/>
    <n v="105.74193"/>
    <d v="2023-11-01T00:00:00"/>
    <x v="10"/>
    <x v="12"/>
  </r>
  <r>
    <s v="Brasil"/>
    <s v="Serviços (Total)"/>
    <n v="104.24"/>
    <n v="112.19132"/>
    <d v="2023-12-01T00:00:00"/>
    <x v="11"/>
    <x v="12"/>
  </r>
  <r>
    <s v="Brasil"/>
    <s v="Serviços (Total)"/>
    <n v="105.3"/>
    <n v="101.59945999999999"/>
    <d v="2024-01-01T00:00:00"/>
    <x v="0"/>
    <x v="13"/>
  </r>
  <r>
    <s v="Brasil"/>
    <s v="Serviços (Total)"/>
    <n v="104.79"/>
    <n v="96.957899999999995"/>
    <d v="2024-02-01T00:00:00"/>
    <x v="1"/>
    <x v="13"/>
  </r>
  <r>
    <s v="Brasil"/>
    <s v="Serviços (Total)"/>
    <n v="105.11"/>
    <n v="104.05418"/>
    <d v="2024-03-01T00:00:00"/>
    <x v="2"/>
    <x v="13"/>
  </r>
  <r>
    <s v="Brasil"/>
    <s v="Serviços (Total)"/>
    <n v="105.42"/>
    <n v="103.14603"/>
    <d v="2024-04-01T00:00:00"/>
    <x v="3"/>
    <x v="13"/>
  </r>
  <r>
    <s v="Brasil"/>
    <s v="Serviços (Total)"/>
    <n v="104.65"/>
    <n v="104.16661999999999"/>
    <d v="2024-05-01T00:00:00"/>
    <x v="4"/>
    <x v="13"/>
  </r>
  <r>
    <s v="Brasil"/>
    <s v="Serviços (Total)"/>
    <n v="106.03"/>
    <n v="105.41407"/>
    <d v="2024-06-01T00:00:00"/>
    <x v="5"/>
    <x v="13"/>
  </r>
  <r>
    <s v="Brasil"/>
    <s v="Serviços (Total)"/>
    <n v="106.15"/>
    <n v="108.54947"/>
    <d v="2024-07-01T00:00:00"/>
    <x v="6"/>
    <x v="13"/>
  </r>
  <r>
    <s v="Brasil"/>
    <s v="Serviços (Total)"/>
    <n v="105.85"/>
    <n v="107.94947000000001"/>
    <d v="2024-08-01T00:00:00"/>
    <x v="7"/>
    <x v="13"/>
  </r>
  <r>
    <s v="Brasil"/>
    <s v="Serviços (Total)"/>
    <n v="107.12"/>
    <n v="107.58808999999999"/>
    <d v="2024-09-01T00:00:00"/>
    <x v="8"/>
    <x v="13"/>
  </r>
  <r>
    <s v="Brasil"/>
    <s v="Serviços (Total)"/>
    <n v="108.43"/>
    <n v="110.41131"/>
    <d v="2024-10-01T00:00:00"/>
    <x v="9"/>
    <x v="13"/>
  </r>
  <r>
    <s v="Brasil"/>
    <s v="Serviços (Total)"/>
    <n v="106.81"/>
    <n v="108.43105"/>
    <d v="2024-11-01T00:00:00"/>
    <x v="10"/>
    <x v="13"/>
  </r>
  <r>
    <s v="Brasil"/>
    <s v="Serviços (Total)"/>
    <n v="107.03"/>
    <n v="115.38782999999999"/>
    <d v="2024-12-01T00:00:00"/>
    <x v="11"/>
    <x v="13"/>
  </r>
  <r>
    <s v="Brasil"/>
    <s v="Serviços (Total)"/>
    <n v="106.58"/>
    <n v="102.67429"/>
    <d v="2025-01-01T00:00:00"/>
    <x v="0"/>
    <x v="14"/>
  </r>
  <r>
    <s v="Brasil"/>
    <s v="Serviços (Total)"/>
    <n v="107.7"/>
    <n v="101.13556"/>
    <d v="2025-02-01T00:00:00"/>
    <x v="1"/>
    <x v="14"/>
  </r>
  <r>
    <s v="Brasil"/>
    <s v="Serviços (Total)"/>
    <n v="107.75"/>
    <n v="105.88565"/>
    <d v="2025-03-01T00:00:00"/>
    <x v="2"/>
    <x v="14"/>
  </r>
  <r>
    <s v="Brasil"/>
    <s v="Serviços (Total)"/>
    <n v="108.46"/>
    <n v="105.00353"/>
    <d v="2025-04-01T00:00:00"/>
    <x v="3"/>
    <x v="14"/>
  </r>
  <r>
    <s v="Brasil"/>
    <s v="Serviços (Total)"/>
    <n v="108.92"/>
    <n v="108.24518"/>
    <d v="2025-05-01T00:00:00"/>
    <x v="4"/>
    <x v="14"/>
  </r>
  <r>
    <s v="Brasil"/>
    <s v="Serviços (Total)"/>
    <n v="109.07"/>
    <n v="108.61254"/>
    <d v="2025-06-01T00:00:00"/>
    <x v="5"/>
    <x v="14"/>
  </r>
  <r>
    <s v="Brasil"/>
    <s v="Serviços (Total)"/>
    <n v="109.32"/>
    <n v="111.64846"/>
    <d v="2025-07-01T00:00:00"/>
    <x v="6"/>
    <x v="14"/>
  </r>
  <r>
    <s v="Brasil"/>
    <s v="Serviços (Total)"/>
    <n v="109.33"/>
    <n v="110.62871"/>
    <d v="2025-08-01T00:00:00"/>
    <x v="7"/>
    <x v="14"/>
  </r>
  <r>
    <s v="Brasil"/>
    <s v="Serviços prestados às famílias"/>
    <n v="111.4"/>
    <n v="118.09254"/>
    <d v="2011-01-01T00:00:00"/>
    <x v="0"/>
    <x v="0"/>
  </r>
  <r>
    <s v="Brasil"/>
    <s v="Serviços prestados às famílias"/>
    <n v="113.26"/>
    <n v="103.19315"/>
    <d v="2011-02-01T00:00:00"/>
    <x v="1"/>
    <x v="0"/>
  </r>
  <r>
    <s v="Brasil"/>
    <s v="Serviços prestados às famílias"/>
    <n v="114.79"/>
    <n v="113.71661"/>
    <d v="2011-03-01T00:00:00"/>
    <x v="2"/>
    <x v="0"/>
  </r>
  <r>
    <s v="Brasil"/>
    <s v="Serviços prestados às famílias"/>
    <n v="116.08"/>
    <n v="113.32889"/>
    <d v="2011-04-01T00:00:00"/>
    <x v="3"/>
    <x v="0"/>
  </r>
  <r>
    <s v="Brasil"/>
    <s v="Serviços prestados às famílias"/>
    <n v="115.56"/>
    <n v="110.48551999999999"/>
    <d v="2011-05-01T00:00:00"/>
    <x v="4"/>
    <x v="0"/>
  </r>
  <r>
    <s v="Brasil"/>
    <s v="Serviços prestados às famílias"/>
    <n v="117.78"/>
    <n v="110.05206"/>
    <d v="2011-06-01T00:00:00"/>
    <x v="5"/>
    <x v="0"/>
  </r>
  <r>
    <s v="Brasil"/>
    <s v="Serviços prestados às famílias"/>
    <n v="117.8"/>
    <n v="119.31916"/>
    <d v="2011-07-01T00:00:00"/>
    <x v="6"/>
    <x v="0"/>
  </r>
  <r>
    <s v="Brasil"/>
    <s v="Serviços prestados às famílias"/>
    <n v="115.66"/>
    <n v="114.75471"/>
    <d v="2011-08-01T00:00:00"/>
    <x v="7"/>
    <x v="0"/>
  </r>
  <r>
    <s v="Brasil"/>
    <s v="Serviços prestados às famílias"/>
    <n v="115.52"/>
    <n v="112.59452"/>
    <d v="2011-09-01T00:00:00"/>
    <x v="8"/>
    <x v="0"/>
  </r>
  <r>
    <s v="Brasil"/>
    <s v="Serviços prestados às famílias"/>
    <n v="115.29"/>
    <n v="117.78819"/>
    <d v="2011-10-01T00:00:00"/>
    <x v="9"/>
    <x v="0"/>
  </r>
  <r>
    <s v="Brasil"/>
    <s v="Serviços prestados às famílias"/>
    <n v="118.87"/>
    <n v="121.36412"/>
    <d v="2011-11-01T00:00:00"/>
    <x v="10"/>
    <x v="0"/>
  </r>
  <r>
    <s v="Brasil"/>
    <s v="Serviços prestados às famílias"/>
    <n v="114.16"/>
    <n v="130.85341"/>
    <d v="2011-12-01T00:00:00"/>
    <x v="11"/>
    <x v="0"/>
  </r>
  <r>
    <s v="Brasil"/>
    <s v="Serviços prestados às famílias"/>
    <n v="115.49"/>
    <n v="122.11736000000001"/>
    <d v="2012-01-01T00:00:00"/>
    <x v="0"/>
    <x v="1"/>
  </r>
  <r>
    <s v="Brasil"/>
    <s v="Serviços prestados às famílias"/>
    <n v="114.23"/>
    <n v="107.70578999999999"/>
    <d v="2012-02-01T00:00:00"/>
    <x v="1"/>
    <x v="1"/>
  </r>
  <r>
    <s v="Brasil"/>
    <s v="Serviços prestados às famílias"/>
    <n v="116.33"/>
    <n v="115.69252"/>
    <d v="2012-03-01T00:00:00"/>
    <x v="2"/>
    <x v="1"/>
  </r>
  <r>
    <s v="Brasil"/>
    <s v="Serviços prestados às famílias"/>
    <n v="115.02"/>
    <n v="110.80206"/>
    <d v="2012-04-01T00:00:00"/>
    <x v="3"/>
    <x v="1"/>
  </r>
  <r>
    <s v="Brasil"/>
    <s v="Serviços prestados às famílias"/>
    <n v="117.7"/>
    <n v="111.66576000000001"/>
    <d v="2012-05-01T00:00:00"/>
    <x v="4"/>
    <x v="1"/>
  </r>
  <r>
    <s v="Brasil"/>
    <s v="Serviços prestados às famílias"/>
    <n v="116.87"/>
    <n v="111.36542"/>
    <d v="2012-06-01T00:00:00"/>
    <x v="5"/>
    <x v="1"/>
  </r>
  <r>
    <s v="Brasil"/>
    <s v="Serviços prestados às famílias"/>
    <n v="115.17"/>
    <n v="115.40539"/>
    <d v="2012-07-01T00:00:00"/>
    <x v="6"/>
    <x v="1"/>
  </r>
  <r>
    <s v="Brasil"/>
    <s v="Serviços prestados às famílias"/>
    <n v="116.99"/>
    <n v="116.35603999999999"/>
    <d v="2012-08-01T00:00:00"/>
    <x v="7"/>
    <x v="1"/>
  </r>
  <r>
    <s v="Brasil"/>
    <s v="Serviços prestados às famílias"/>
    <n v="118.21"/>
    <n v="114.55901"/>
    <d v="2012-09-01T00:00:00"/>
    <x v="8"/>
    <x v="1"/>
  </r>
  <r>
    <s v="Brasil"/>
    <s v="Serviços prestados às famílias"/>
    <n v="115.99"/>
    <n v="118.16656999999999"/>
    <d v="2012-10-01T00:00:00"/>
    <x v="9"/>
    <x v="1"/>
  </r>
  <r>
    <s v="Brasil"/>
    <s v="Serviços prestados às famílias"/>
    <n v="118.7"/>
    <n v="121.80072"/>
    <d v="2012-11-01T00:00:00"/>
    <x v="10"/>
    <x v="1"/>
  </r>
  <r>
    <s v="Brasil"/>
    <s v="Serviços prestados às famílias"/>
    <n v="117.27"/>
    <n v="133.37487999999999"/>
    <d v="2012-12-01T00:00:00"/>
    <x v="11"/>
    <x v="1"/>
  </r>
  <r>
    <s v="Brasil"/>
    <s v="Serviços prestados às famílias"/>
    <n v="115.24"/>
    <n v="121.75472000000001"/>
    <d v="2013-01-01T00:00:00"/>
    <x v="0"/>
    <x v="2"/>
  </r>
  <r>
    <s v="Brasil"/>
    <s v="Serviços prestados às famílias"/>
    <n v="113.41"/>
    <n v="105.36019"/>
    <d v="2013-02-01T00:00:00"/>
    <x v="1"/>
    <x v="2"/>
  </r>
  <r>
    <s v="Brasil"/>
    <s v="Serviços prestados às famílias"/>
    <n v="116.2"/>
    <n v="116.63112"/>
    <d v="2013-03-01T00:00:00"/>
    <x v="2"/>
    <x v="2"/>
  </r>
  <r>
    <s v="Brasil"/>
    <s v="Serviços prestados às famílias"/>
    <n v="117.15"/>
    <n v="112.29174999999999"/>
    <d v="2013-04-01T00:00:00"/>
    <x v="3"/>
    <x v="2"/>
  </r>
  <r>
    <s v="Brasil"/>
    <s v="Serviços prestados às famílias"/>
    <n v="117.8"/>
    <n v="112.30848"/>
    <d v="2013-05-01T00:00:00"/>
    <x v="4"/>
    <x v="2"/>
  </r>
  <r>
    <s v="Brasil"/>
    <s v="Serviços prestados às famílias"/>
    <n v="116.96"/>
    <n v="110.09666"/>
    <d v="2013-06-01T00:00:00"/>
    <x v="5"/>
    <x v="2"/>
  </r>
  <r>
    <s v="Brasil"/>
    <s v="Serviços prestados às famílias"/>
    <n v="118.55"/>
    <n v="118.76278000000001"/>
    <d v="2013-07-01T00:00:00"/>
    <x v="6"/>
    <x v="2"/>
  </r>
  <r>
    <s v="Brasil"/>
    <s v="Serviços prestados às famílias"/>
    <n v="117.9"/>
    <n v="117.90903"/>
    <d v="2013-08-01T00:00:00"/>
    <x v="7"/>
    <x v="2"/>
  </r>
  <r>
    <s v="Brasil"/>
    <s v="Serviços prestados às famílias"/>
    <n v="118.15"/>
    <n v="114.23005999999999"/>
    <d v="2013-09-01T00:00:00"/>
    <x v="8"/>
    <x v="2"/>
  </r>
  <r>
    <s v="Brasil"/>
    <s v="Serviços prestados às famílias"/>
    <n v="119.37"/>
    <n v="120.63324"/>
    <d v="2013-10-01T00:00:00"/>
    <x v="9"/>
    <x v="2"/>
  </r>
  <r>
    <s v="Brasil"/>
    <s v="Serviços prestados às famílias"/>
    <n v="118.23"/>
    <n v="121.7479"/>
    <d v="2013-11-01T00:00:00"/>
    <x v="10"/>
    <x v="2"/>
  </r>
  <r>
    <s v="Brasil"/>
    <s v="Serviços prestados às famílias"/>
    <n v="116.97"/>
    <n v="132.78564"/>
    <d v="2013-12-01T00:00:00"/>
    <x v="11"/>
    <x v="2"/>
  </r>
  <r>
    <s v="Brasil"/>
    <s v="Serviços prestados às famílias"/>
    <n v="117.29"/>
    <n v="125.74823000000001"/>
    <d v="2014-01-01T00:00:00"/>
    <x v="0"/>
    <x v="3"/>
  </r>
  <r>
    <s v="Brasil"/>
    <s v="Serviços prestados às famílias"/>
    <n v="117.18"/>
    <n v="108.79476"/>
    <d v="2014-02-01T00:00:00"/>
    <x v="1"/>
    <x v="3"/>
  </r>
  <r>
    <s v="Brasil"/>
    <s v="Serviços prestados às famílias"/>
    <n v="116.07"/>
    <n v="115.74303"/>
    <d v="2014-03-01T00:00:00"/>
    <x v="2"/>
    <x v="3"/>
  </r>
  <r>
    <s v="Brasil"/>
    <s v="Serviços prestados às famílias"/>
    <n v="116.83"/>
    <n v="112.14489"/>
    <d v="2014-04-01T00:00:00"/>
    <x v="3"/>
    <x v="3"/>
  </r>
  <r>
    <s v="Brasil"/>
    <s v="Serviços prestados às famílias"/>
    <n v="118.37"/>
    <n v="113.3066"/>
    <d v="2014-05-01T00:00:00"/>
    <x v="4"/>
    <x v="3"/>
  </r>
  <r>
    <s v="Brasil"/>
    <s v="Serviços prestados às famílias"/>
    <n v="112.51"/>
    <n v="105.18505"/>
    <d v="2014-06-01T00:00:00"/>
    <x v="5"/>
    <x v="3"/>
  </r>
  <r>
    <s v="Brasil"/>
    <s v="Serviços prestados às famílias"/>
    <n v="110.2"/>
    <n v="109.74503"/>
    <d v="2014-07-01T00:00:00"/>
    <x v="6"/>
    <x v="3"/>
  </r>
  <r>
    <s v="Brasil"/>
    <s v="Serviços prestados às famílias"/>
    <n v="115.67"/>
    <n v="115.85093999999999"/>
    <d v="2014-08-01T00:00:00"/>
    <x v="7"/>
    <x v="3"/>
  </r>
  <r>
    <s v="Brasil"/>
    <s v="Serviços prestados às famílias"/>
    <n v="114.09"/>
    <n v="110.23806"/>
    <d v="2014-09-01T00:00:00"/>
    <x v="8"/>
    <x v="3"/>
  </r>
  <r>
    <s v="Brasil"/>
    <s v="Serviços prestados às famílias"/>
    <n v="114.1"/>
    <n v="116.49804"/>
    <d v="2014-10-01T00:00:00"/>
    <x v="9"/>
    <x v="3"/>
  </r>
  <r>
    <s v="Brasil"/>
    <s v="Serviços prestados às famílias"/>
    <n v="113.71"/>
    <n v="115.31662"/>
    <d v="2014-11-01T00:00:00"/>
    <x v="10"/>
    <x v="3"/>
  </r>
  <r>
    <s v="Brasil"/>
    <s v="Serviços prestados às famílias"/>
    <n v="115.21"/>
    <n v="130.87142"/>
    <d v="2014-12-01T00:00:00"/>
    <x v="11"/>
    <x v="3"/>
  </r>
  <r>
    <s v="Brasil"/>
    <s v="Serviços prestados às famílias"/>
    <n v="113.69"/>
    <n v="123.54358000000001"/>
    <d v="2015-01-01T00:00:00"/>
    <x v="0"/>
    <x v="4"/>
  </r>
  <r>
    <s v="Brasil"/>
    <s v="Serviços prestados às famílias"/>
    <n v="112.93"/>
    <n v="105.96728"/>
    <d v="2015-02-01T00:00:00"/>
    <x v="1"/>
    <x v="4"/>
  </r>
  <r>
    <s v="Brasil"/>
    <s v="Serviços prestados às famílias"/>
    <n v="110.97"/>
    <n v="109.39818"/>
    <d v="2015-03-01T00:00:00"/>
    <x v="2"/>
    <x v="4"/>
  </r>
  <r>
    <s v="Brasil"/>
    <s v="Serviços prestados às famílias"/>
    <n v="109.91"/>
    <n v="104.60016"/>
    <d v="2015-04-01T00:00:00"/>
    <x v="3"/>
    <x v="4"/>
  </r>
  <r>
    <s v="Brasil"/>
    <s v="Serviços prestados às famílias"/>
    <n v="108.3"/>
    <n v="103.11359"/>
    <d v="2015-05-01T00:00:00"/>
    <x v="4"/>
    <x v="4"/>
  </r>
  <r>
    <s v="Brasil"/>
    <s v="Serviços prestados às famílias"/>
    <n v="109.73"/>
    <n v="102.48842999999999"/>
    <d v="2015-06-01T00:00:00"/>
    <x v="5"/>
    <x v="4"/>
  </r>
  <r>
    <s v="Brasil"/>
    <s v="Serviços prestados às famílias"/>
    <n v="106.56"/>
    <n v="107.6793"/>
    <d v="2015-07-01T00:00:00"/>
    <x v="6"/>
    <x v="4"/>
  </r>
  <r>
    <s v="Brasil"/>
    <s v="Serviços prestados às famílias"/>
    <n v="106.98"/>
    <n v="106.3361"/>
    <d v="2015-08-01T00:00:00"/>
    <x v="7"/>
    <x v="4"/>
  </r>
  <r>
    <s v="Brasil"/>
    <s v="Serviços prestados às famílias"/>
    <n v="107.34"/>
    <n v="102.87859"/>
    <d v="2015-09-01T00:00:00"/>
    <x v="8"/>
    <x v="4"/>
  </r>
  <r>
    <s v="Brasil"/>
    <s v="Serviços prestados às famílias"/>
    <n v="108.13"/>
    <n v="110.93342"/>
    <d v="2015-10-01T00:00:00"/>
    <x v="9"/>
    <x v="4"/>
  </r>
  <r>
    <s v="Brasil"/>
    <s v="Serviços prestados às famílias"/>
    <n v="106.59"/>
    <n v="107.75362"/>
    <d v="2015-11-01T00:00:00"/>
    <x v="10"/>
    <x v="4"/>
  </r>
  <r>
    <s v="Brasil"/>
    <s v="Serviços prestados às famílias"/>
    <n v="106.84"/>
    <n v="121.32942"/>
    <d v="2015-12-01T00:00:00"/>
    <x v="11"/>
    <x v="4"/>
  </r>
  <r>
    <s v="Brasil"/>
    <s v="Serviços prestados às famílias"/>
    <n v="107.78"/>
    <n v="118.42319000000001"/>
    <d v="2016-01-01T00:00:00"/>
    <x v="0"/>
    <x v="5"/>
  </r>
  <r>
    <s v="Brasil"/>
    <s v="Serviços prestados às famílias"/>
    <n v="108.77"/>
    <n v="104.52594999999999"/>
    <d v="2016-02-01T00:00:00"/>
    <x v="1"/>
    <x v="5"/>
  </r>
  <r>
    <s v="Brasil"/>
    <s v="Serviços prestados às famílias"/>
    <n v="106.6"/>
    <n v="105.2465"/>
    <d v="2016-03-01T00:00:00"/>
    <x v="2"/>
    <x v="5"/>
  </r>
  <r>
    <s v="Brasil"/>
    <s v="Serviços prestados às famílias"/>
    <n v="105.49"/>
    <n v="101.41495999999999"/>
    <d v="2016-04-01T00:00:00"/>
    <x v="3"/>
    <x v="5"/>
  </r>
  <r>
    <s v="Brasil"/>
    <s v="Serviços prestados às famílias"/>
    <n v="103.31"/>
    <n v="95.894480000000001"/>
    <d v="2016-05-01T00:00:00"/>
    <x v="4"/>
    <x v="5"/>
  </r>
  <r>
    <s v="Brasil"/>
    <s v="Serviços prestados às famílias"/>
    <n v="102.14"/>
    <n v="94.816609999999997"/>
    <d v="2016-06-01T00:00:00"/>
    <x v="5"/>
    <x v="5"/>
  </r>
  <r>
    <s v="Brasil"/>
    <s v="Serviços prestados às famílias"/>
    <n v="102.74"/>
    <n v="105.31361"/>
    <d v="2016-07-01T00:00:00"/>
    <x v="6"/>
    <x v="5"/>
  </r>
  <r>
    <s v="Brasil"/>
    <s v="Serviços prestados às famílias"/>
    <n v="103.21"/>
    <n v="101.9491"/>
    <d v="2016-08-01T00:00:00"/>
    <x v="7"/>
    <x v="5"/>
  </r>
  <r>
    <s v="Brasil"/>
    <s v="Serviços prestados às famílias"/>
    <n v="100.45"/>
    <n v="97.003309999999999"/>
    <d v="2016-09-01T00:00:00"/>
    <x v="8"/>
    <x v="5"/>
  </r>
  <r>
    <s v="Brasil"/>
    <s v="Serviços prestados às famílias"/>
    <n v="101.15"/>
    <n v="103.41034999999999"/>
    <d v="2016-10-01T00:00:00"/>
    <x v="9"/>
    <x v="5"/>
  </r>
  <r>
    <s v="Brasil"/>
    <s v="Serviços prestados às famílias"/>
    <n v="101.04"/>
    <n v="101.67032"/>
    <d v="2016-11-01T00:00:00"/>
    <x v="10"/>
    <x v="5"/>
  </r>
  <r>
    <s v="Brasil"/>
    <s v="Serviços prestados às famílias"/>
    <n v="104"/>
    <n v="119.46545"/>
    <d v="2016-12-01T00:00:00"/>
    <x v="11"/>
    <x v="5"/>
  </r>
  <r>
    <s v="Brasil"/>
    <s v="Serviços prestados às famílias"/>
    <n v="103.94"/>
    <n v="113.73218"/>
    <d v="2017-01-01T00:00:00"/>
    <x v="0"/>
    <x v="6"/>
  </r>
  <r>
    <s v="Brasil"/>
    <s v="Serviços prestados às famílias"/>
    <n v="104.59"/>
    <n v="97.497630000000001"/>
    <d v="2017-02-01T00:00:00"/>
    <x v="1"/>
    <x v="6"/>
  </r>
  <r>
    <s v="Brasil"/>
    <s v="Serviços prestados às famílias"/>
    <n v="102.79"/>
    <n v="101.99355"/>
    <d v="2017-03-01T00:00:00"/>
    <x v="2"/>
    <x v="6"/>
  </r>
  <r>
    <s v="Brasil"/>
    <s v="Serviços prestados às famílias"/>
    <n v="102.73"/>
    <n v="98.061329999999998"/>
    <d v="2017-04-01T00:00:00"/>
    <x v="3"/>
    <x v="6"/>
  </r>
  <r>
    <s v="Brasil"/>
    <s v="Serviços prestados às famílias"/>
    <n v="103.63"/>
    <n v="97.454939999999993"/>
    <d v="2017-05-01T00:00:00"/>
    <x v="4"/>
    <x v="6"/>
  </r>
  <r>
    <s v="Brasil"/>
    <s v="Serviços prestados às famílias"/>
    <n v="105.7"/>
    <n v="98.772649999999999"/>
    <d v="2017-06-01T00:00:00"/>
    <x v="5"/>
    <x v="6"/>
  </r>
  <r>
    <s v="Brasil"/>
    <s v="Serviços prestados às famílias"/>
    <n v="104.51"/>
    <n v="106.91758"/>
    <d v="2017-07-01T00:00:00"/>
    <x v="6"/>
    <x v="6"/>
  </r>
  <r>
    <s v="Brasil"/>
    <s v="Serviços prestados às famílias"/>
    <n v="100.22"/>
    <n v="97.651079999999993"/>
    <d v="2017-08-01T00:00:00"/>
    <x v="7"/>
    <x v="6"/>
  </r>
  <r>
    <s v="Brasil"/>
    <s v="Serviços prestados às famílias"/>
    <n v="103.67"/>
    <n v="101.44222000000001"/>
    <d v="2017-09-01T00:00:00"/>
    <x v="8"/>
    <x v="6"/>
  </r>
  <r>
    <s v="Brasil"/>
    <s v="Serviços prestados às famílias"/>
    <n v="101.77"/>
    <n v="103.83502"/>
    <d v="2017-10-01T00:00:00"/>
    <x v="9"/>
    <x v="6"/>
  </r>
  <r>
    <s v="Brasil"/>
    <s v="Serviços prestados às famílias"/>
    <n v="103.06"/>
    <n v="103.16011"/>
    <d v="2017-11-01T00:00:00"/>
    <x v="10"/>
    <x v="6"/>
  </r>
  <r>
    <s v="Brasil"/>
    <s v="Serviços prestados às famílias"/>
    <n v="100.3"/>
    <n v="115.25369999999999"/>
    <d v="2017-12-01T00:00:00"/>
    <x v="11"/>
    <x v="6"/>
  </r>
  <r>
    <s v="Brasil"/>
    <s v="Serviços prestados às famílias"/>
    <n v="100.56"/>
    <n v="110.35372"/>
    <d v="2018-01-01T00:00:00"/>
    <x v="0"/>
    <x v="7"/>
  </r>
  <r>
    <s v="Brasil"/>
    <s v="Serviços prestados às famílias"/>
    <n v="99.94"/>
    <n v="92.435900000000004"/>
    <d v="2018-02-01T00:00:00"/>
    <x v="1"/>
    <x v="7"/>
  </r>
  <r>
    <s v="Brasil"/>
    <s v="Serviços prestados às famílias"/>
    <n v="102.3"/>
    <n v="102.99281999999999"/>
    <d v="2018-03-01T00:00:00"/>
    <x v="2"/>
    <x v="7"/>
  </r>
  <r>
    <s v="Brasil"/>
    <s v="Serviços prestados às famílias"/>
    <n v="104.69"/>
    <n v="99.100430000000003"/>
    <d v="2018-04-01T00:00:00"/>
    <x v="3"/>
    <x v="7"/>
  </r>
  <r>
    <s v="Brasil"/>
    <s v="Serviços prestados às famílias"/>
    <n v="102.5"/>
    <n v="95.927080000000004"/>
    <d v="2018-05-01T00:00:00"/>
    <x v="4"/>
    <x v="7"/>
  </r>
  <r>
    <s v="Brasil"/>
    <s v="Serviços prestados às famílias"/>
    <n v="100.65"/>
    <n v="94.652159999999995"/>
    <d v="2018-06-01T00:00:00"/>
    <x v="5"/>
    <x v="7"/>
  </r>
  <r>
    <s v="Brasil"/>
    <s v="Serviços prestados às famílias"/>
    <n v="104.18"/>
    <n v="106.76802000000001"/>
    <d v="2018-07-01T00:00:00"/>
    <x v="6"/>
    <x v="7"/>
  </r>
  <r>
    <s v="Brasil"/>
    <s v="Serviços prestados às famílias"/>
    <n v="104.47"/>
    <n v="102.4285"/>
    <d v="2018-08-01T00:00:00"/>
    <x v="7"/>
    <x v="7"/>
  </r>
  <r>
    <s v="Brasil"/>
    <s v="Serviços prestados às famílias"/>
    <n v="105.09"/>
    <n v="101.91924"/>
    <d v="2018-09-01T00:00:00"/>
    <x v="8"/>
    <x v="7"/>
  </r>
  <r>
    <s v="Brasil"/>
    <s v="Serviços prestados às famílias"/>
    <n v="103.31"/>
    <n v="105.93432"/>
    <d v="2018-10-01T00:00:00"/>
    <x v="9"/>
    <x v="7"/>
  </r>
  <r>
    <s v="Brasil"/>
    <s v="Serviços prestados às famílias"/>
    <n v="104.62"/>
    <n v="106.41142000000001"/>
    <d v="2018-11-01T00:00:00"/>
    <x v="10"/>
    <x v="7"/>
  </r>
  <r>
    <s v="Brasil"/>
    <s v="Serviços prestados às famílias"/>
    <n v="105.47"/>
    <n v="118.83277"/>
    <d v="2018-12-01T00:00:00"/>
    <x v="11"/>
    <x v="7"/>
  </r>
  <r>
    <s v="Brasil"/>
    <s v="Serviços prestados às famílias"/>
    <n v="106.71"/>
    <n v="115.16343999999999"/>
    <d v="2019-01-01T00:00:00"/>
    <x v="0"/>
    <x v="8"/>
  </r>
  <r>
    <s v="Brasil"/>
    <s v="Serviços prestados às famílias"/>
    <n v="106.07"/>
    <n v="96.612700000000004"/>
    <d v="2019-02-01T00:00:00"/>
    <x v="1"/>
    <x v="8"/>
  </r>
  <r>
    <s v="Brasil"/>
    <s v="Serviços prestados às famílias"/>
    <n v="106.34"/>
    <n v="107.72149"/>
    <d v="2019-03-01T00:00:00"/>
    <x v="2"/>
    <x v="8"/>
  </r>
  <r>
    <s v="Brasil"/>
    <s v="Serviços prestados às famílias"/>
    <n v="107.04"/>
    <n v="102.67699"/>
    <d v="2019-04-01T00:00:00"/>
    <x v="3"/>
    <x v="8"/>
  </r>
  <r>
    <s v="Brasil"/>
    <s v="Serviços prestados às famílias"/>
    <n v="106.87"/>
    <n v="102.04552"/>
    <d v="2019-05-01T00:00:00"/>
    <x v="4"/>
    <x v="8"/>
  </r>
  <r>
    <s v="Brasil"/>
    <s v="Serviços prestados às famílias"/>
    <n v="107.53"/>
    <n v="100.03556"/>
    <d v="2019-06-01T00:00:00"/>
    <x v="5"/>
    <x v="8"/>
  </r>
  <r>
    <s v="Brasil"/>
    <s v="Serviços prestados às famílias"/>
    <n v="106.81"/>
    <n v="109.82455"/>
    <d v="2019-07-01T00:00:00"/>
    <x v="6"/>
    <x v="8"/>
  </r>
  <r>
    <s v="Brasil"/>
    <s v="Serviços prestados às famílias"/>
    <n v="105.21"/>
    <n v="103.31196"/>
    <d v="2019-08-01T00:00:00"/>
    <x v="7"/>
    <x v="8"/>
  </r>
  <r>
    <s v="Brasil"/>
    <s v="Serviços prestados às famílias"/>
    <n v="104.46"/>
    <n v="101.78789"/>
    <d v="2019-09-01T00:00:00"/>
    <x v="8"/>
    <x v="8"/>
  </r>
  <r>
    <s v="Brasil"/>
    <s v="Serviços prestados às famílias"/>
    <n v="106.46"/>
    <n v="108.65271"/>
    <d v="2019-10-01T00:00:00"/>
    <x v="9"/>
    <x v="8"/>
  </r>
  <r>
    <s v="Brasil"/>
    <s v="Serviços prestados às famílias"/>
    <n v="104.28"/>
    <n v="107.27664"/>
    <d v="2019-11-01T00:00:00"/>
    <x v="10"/>
    <x v="8"/>
  </r>
  <r>
    <s v="Brasil"/>
    <s v="Serviços prestados às famílias"/>
    <n v="104.33"/>
    <n v="116.90098"/>
    <d v="2019-12-01T00:00:00"/>
    <x v="11"/>
    <x v="8"/>
  </r>
  <r>
    <s v="Brasil"/>
    <s v="Serviços prestados às famílias"/>
    <n v="106.42"/>
    <n v="115.43093"/>
    <d v="2020-01-01T00:00:00"/>
    <x v="0"/>
    <x v="9"/>
  </r>
  <r>
    <s v="Brasil"/>
    <s v="Serviços prestados às famílias"/>
    <n v="106.14"/>
    <n v="99.925849999999997"/>
    <d v="2020-02-01T00:00:00"/>
    <x v="1"/>
    <x v="9"/>
  </r>
  <r>
    <s v="Brasil"/>
    <s v="Serviços prestados às famílias"/>
    <n v="72.75"/>
    <n v="71.595429999999993"/>
    <d v="2020-03-01T00:00:00"/>
    <x v="2"/>
    <x v="9"/>
  </r>
  <r>
    <s v="Brasil"/>
    <s v="Serviços prestados às famílias"/>
    <n v="41.11"/>
    <n v="35.639209999999999"/>
    <d v="2020-04-01T00:00:00"/>
    <x v="3"/>
    <x v="9"/>
  </r>
  <r>
    <s v="Brasil"/>
    <s v="Serviços prestados às famílias"/>
    <n v="42.8"/>
    <n v="39.16863"/>
    <d v="2020-05-01T00:00:00"/>
    <x v="4"/>
    <x v="9"/>
  </r>
  <r>
    <s v="Brasil"/>
    <s v="Serviços prestados às famílias"/>
    <n v="49.49"/>
    <n v="42.555840000000003"/>
    <d v="2020-06-01T00:00:00"/>
    <x v="5"/>
    <x v="9"/>
  </r>
  <r>
    <s v="Brasil"/>
    <s v="Serviços prestados às famílias"/>
    <n v="45.95"/>
    <n v="49.426859999999998"/>
    <d v="2020-07-01T00:00:00"/>
    <x v="6"/>
    <x v="9"/>
  </r>
  <r>
    <s v="Brasil"/>
    <s v="Serviços prestados às famílias"/>
    <n v="60.86"/>
    <n v="57.98462"/>
    <d v="2020-08-01T00:00:00"/>
    <x v="7"/>
    <x v="9"/>
  </r>
  <r>
    <s v="Brasil"/>
    <s v="Serviços prestados às famílias"/>
    <n v="67.319999999999993"/>
    <n v="64.769750000000002"/>
    <d v="2020-09-01T00:00:00"/>
    <x v="8"/>
    <x v="9"/>
  </r>
  <r>
    <s v="Brasil"/>
    <s v="Serviços prestados às famílias"/>
    <n v="71.900000000000006"/>
    <n v="76.138819999999996"/>
    <d v="2020-10-01T00:00:00"/>
    <x v="9"/>
    <x v="9"/>
  </r>
  <r>
    <s v="Brasil"/>
    <s v="Serviços prestados às famílias"/>
    <n v="77.39"/>
    <n v="79.315039999999996"/>
    <d v="2020-11-01T00:00:00"/>
    <x v="10"/>
    <x v="9"/>
  </r>
  <r>
    <s v="Brasil"/>
    <s v="Serviços prestados às famílias"/>
    <n v="75.510000000000005"/>
    <n v="87.294659999999993"/>
    <d v="2020-12-01T00:00:00"/>
    <x v="11"/>
    <x v="9"/>
  </r>
  <r>
    <s v="Brasil"/>
    <s v="Serviços prestados às famílias"/>
    <n v="73.91"/>
    <n v="83.082120000000003"/>
    <d v="2021-01-01T00:00:00"/>
    <x v="0"/>
    <x v="10"/>
  </r>
  <r>
    <s v="Brasil"/>
    <s v="Serviços prestados às famílias"/>
    <n v="81.06"/>
    <n v="71.605000000000004"/>
    <d v="2021-02-01T00:00:00"/>
    <x v="1"/>
    <x v="10"/>
  </r>
  <r>
    <s v="Brasil"/>
    <s v="Serviços prestados às famílias"/>
    <n v="60.42"/>
    <n v="59.331850000000003"/>
    <d v="2021-03-01T00:00:00"/>
    <x v="2"/>
    <x v="10"/>
  </r>
  <r>
    <s v="Brasil"/>
    <s v="Serviços prestados às famílias"/>
    <n v="63.37"/>
    <n v="59.072139999999997"/>
    <d v="2021-04-01T00:00:00"/>
    <x v="3"/>
    <x v="10"/>
  </r>
  <r>
    <s v="Brasil"/>
    <s v="Serviços prestados às famílias"/>
    <n v="73.430000000000007"/>
    <n v="69.301370000000006"/>
    <d v="2021-05-01T00:00:00"/>
    <x v="4"/>
    <x v="10"/>
  </r>
  <r>
    <s v="Brasil"/>
    <s v="Serviços prestados às famílias"/>
    <n v="80.81"/>
    <n v="73.58305"/>
    <d v="2021-06-01T00:00:00"/>
    <x v="5"/>
    <x v="10"/>
  </r>
  <r>
    <s v="Brasil"/>
    <s v="Serviços prestados às famílias"/>
    <n v="82.79"/>
    <n v="87.035169999999994"/>
    <d v="2021-07-01T00:00:00"/>
    <x v="6"/>
    <x v="10"/>
  </r>
  <r>
    <s v="Brasil"/>
    <s v="Serviços prestados às famílias"/>
    <n v="85.94"/>
    <n v="82.461209999999994"/>
    <d v="2021-08-01T00:00:00"/>
    <x v="7"/>
    <x v="10"/>
  </r>
  <r>
    <s v="Brasil"/>
    <s v="Serviços prestados às famílias"/>
    <n v="88.71"/>
    <n v="85.928730000000002"/>
    <d v="2021-09-01T00:00:00"/>
    <x v="8"/>
    <x v="10"/>
  </r>
  <r>
    <s v="Brasil"/>
    <s v="Serviços prestados às famílias"/>
    <n v="90.4"/>
    <n v="94.851849999999999"/>
    <d v="2021-10-01T00:00:00"/>
    <x v="9"/>
    <x v="10"/>
  </r>
  <r>
    <s v="Brasil"/>
    <s v="Serviços prestados às famílias"/>
    <n v="93.19"/>
    <n v="95.707380000000001"/>
    <d v="2021-11-01T00:00:00"/>
    <x v="10"/>
    <x v="10"/>
  </r>
  <r>
    <s v="Brasil"/>
    <s v="Serviços prestados às famílias"/>
    <n v="92.72"/>
    <n v="106.14413999999999"/>
    <d v="2021-12-01T00:00:00"/>
    <x v="11"/>
    <x v="10"/>
  </r>
  <r>
    <s v="Brasil"/>
    <s v="Serviços prestados às famílias"/>
    <n v="91.58"/>
    <n v="99.311000000000007"/>
    <d v="2022-01-01T00:00:00"/>
    <x v="0"/>
    <x v="11"/>
  </r>
  <r>
    <s v="Brasil"/>
    <s v="Serviços prestados às famílias"/>
    <n v="93.89"/>
    <n v="83.978669999999994"/>
    <d v="2022-02-01T00:00:00"/>
    <x v="1"/>
    <x v="11"/>
  </r>
  <r>
    <s v="Brasil"/>
    <s v="Serviços prestados às famílias"/>
    <n v="98.57"/>
    <n v="96.563339999999997"/>
    <d v="2022-03-01T00:00:00"/>
    <x v="2"/>
    <x v="11"/>
  </r>
  <r>
    <s v="Brasil"/>
    <s v="Serviços prestados às famílias"/>
    <n v="99.48"/>
    <n v="95.693209999999993"/>
    <d v="2022-04-01T00:00:00"/>
    <x v="3"/>
    <x v="11"/>
  </r>
  <r>
    <s v="Brasil"/>
    <s v="Serviços prestados às famílias"/>
    <n v="101.18"/>
    <n v="96.785259999999994"/>
    <d v="2022-05-01T00:00:00"/>
    <x v="4"/>
    <x v="11"/>
  </r>
  <r>
    <s v="Brasil"/>
    <s v="Serviços prestados às famílias"/>
    <n v="101.63"/>
    <n v="94.282290000000003"/>
    <d v="2022-06-01T00:00:00"/>
    <x v="5"/>
    <x v="11"/>
  </r>
  <r>
    <s v="Brasil"/>
    <s v="Serviços prestados às famílias"/>
    <n v="102.04"/>
    <n v="106.66839"/>
    <d v="2022-07-01T00:00:00"/>
    <x v="6"/>
    <x v="11"/>
  </r>
  <r>
    <s v="Brasil"/>
    <s v="Serviços prestados às famílias"/>
    <n v="103.97"/>
    <n v="100.45498000000001"/>
    <d v="2022-08-01T00:00:00"/>
    <x v="7"/>
    <x v="11"/>
  </r>
  <r>
    <s v="Brasil"/>
    <s v="Serviços prestados às famílias"/>
    <n v="102.65"/>
    <n v="101.40848"/>
    <d v="2022-09-01T00:00:00"/>
    <x v="8"/>
    <x v="11"/>
  </r>
  <r>
    <s v="Brasil"/>
    <s v="Serviços prestados às famílias"/>
    <n v="102.34"/>
    <n v="105.70755"/>
    <d v="2022-10-01T00:00:00"/>
    <x v="9"/>
    <x v="11"/>
  </r>
  <r>
    <s v="Brasil"/>
    <s v="Serviços prestados às famílias"/>
    <n v="100.87"/>
    <n v="103.21071000000001"/>
    <d v="2022-11-01T00:00:00"/>
    <x v="10"/>
    <x v="11"/>
  </r>
  <r>
    <s v="Brasil"/>
    <s v="Serviços prestados às famílias"/>
    <n v="101.16"/>
    <n v="115.93612"/>
    <d v="2022-12-01T00:00:00"/>
    <x v="11"/>
    <x v="11"/>
  </r>
  <r>
    <s v="Brasil"/>
    <s v="Serviços prestados às famílias"/>
    <n v="103.57"/>
    <n v="110.26821"/>
    <d v="2023-01-01T00:00:00"/>
    <x v="0"/>
    <x v="12"/>
  </r>
  <r>
    <s v="Brasil"/>
    <s v="Serviços prestados às famílias"/>
    <n v="103.45"/>
    <n v="93.013009999999994"/>
    <d v="2023-02-01T00:00:00"/>
    <x v="1"/>
    <x v="12"/>
  </r>
  <r>
    <s v="Brasil"/>
    <s v="Serviços prestados às famílias"/>
    <n v="100.75"/>
    <n v="99.995000000000005"/>
    <d v="2023-03-01T00:00:00"/>
    <x v="2"/>
    <x v="12"/>
  </r>
  <r>
    <s v="Brasil"/>
    <s v="Serviços prestados às famílias"/>
    <n v="104.44"/>
    <n v="98.835220000000007"/>
    <d v="2023-04-01T00:00:00"/>
    <x v="3"/>
    <x v="12"/>
  </r>
  <r>
    <s v="Brasil"/>
    <s v="Serviços prestados às famílias"/>
    <n v="103.78"/>
    <n v="99.549340000000001"/>
    <d v="2023-05-01T00:00:00"/>
    <x v="4"/>
    <x v="12"/>
  </r>
  <r>
    <s v="Brasil"/>
    <s v="Serviços prestados às famílias"/>
    <n v="105.53"/>
    <n v="99.756309999999999"/>
    <d v="2023-06-01T00:00:00"/>
    <x v="5"/>
    <x v="12"/>
  </r>
  <r>
    <s v="Brasil"/>
    <s v="Serviços prestados às famílias"/>
    <n v="108.72"/>
    <n v="112.80969"/>
    <d v="2023-07-01T00:00:00"/>
    <x v="6"/>
    <x v="12"/>
  </r>
  <r>
    <s v="Brasil"/>
    <s v="Serviços prestados às famílias"/>
    <n v="104.08"/>
    <n v="99.720259999999996"/>
    <d v="2023-08-01T00:00:00"/>
    <x v="7"/>
    <x v="12"/>
  </r>
  <r>
    <s v="Brasil"/>
    <s v="Serviços prestados às famílias"/>
    <n v="104.71"/>
    <n v="104.48882999999999"/>
    <d v="2023-09-01T00:00:00"/>
    <x v="8"/>
    <x v="12"/>
  </r>
  <r>
    <s v="Brasil"/>
    <s v="Serviços prestados às famílias"/>
    <n v="103.88"/>
    <n v="106.45686000000001"/>
    <d v="2023-10-01T00:00:00"/>
    <x v="9"/>
    <x v="12"/>
  </r>
  <r>
    <s v="Brasil"/>
    <s v="Serviços prestados às famílias"/>
    <n v="107.29"/>
    <n v="109.27807"/>
    <d v="2023-11-01T00:00:00"/>
    <x v="10"/>
    <x v="12"/>
  </r>
  <r>
    <s v="Brasil"/>
    <s v="Serviços prestados às famílias"/>
    <n v="109.68"/>
    <n v="125.38222"/>
    <d v="2023-12-01T00:00:00"/>
    <x v="11"/>
    <x v="12"/>
  </r>
  <r>
    <s v="Brasil"/>
    <s v="Serviços prestados às famílias"/>
    <n v="108.02"/>
    <n v="114.346"/>
    <d v="2024-01-01T00:00:00"/>
    <x v="0"/>
    <x v="13"/>
  </r>
  <r>
    <s v="Brasil"/>
    <s v="Serviços prestados às famílias"/>
    <n v="107.46"/>
    <n v="98.410709999999995"/>
    <d v="2024-02-01T00:00:00"/>
    <x v="1"/>
    <x v="13"/>
  </r>
  <r>
    <s v="Brasil"/>
    <s v="Serviços prestados às famílias"/>
    <n v="107.03"/>
    <n v="108.03429"/>
    <d v="2024-03-01T00:00:00"/>
    <x v="2"/>
    <x v="13"/>
  </r>
  <r>
    <s v="Brasil"/>
    <s v="Serviços prestados às famílias"/>
    <n v="106.49"/>
    <n v="100.04956"/>
    <d v="2024-04-01T00:00:00"/>
    <x v="3"/>
    <x v="13"/>
  </r>
  <r>
    <s v="Brasil"/>
    <s v="Serviços prestados às famílias"/>
    <n v="108.76"/>
    <n v="104.52464999999999"/>
    <d v="2024-05-01T00:00:00"/>
    <x v="4"/>
    <x v="13"/>
  </r>
  <r>
    <s v="Brasil"/>
    <s v="Serviços prestados às famílias"/>
    <n v="110.06"/>
    <n v="104.17368999999999"/>
    <d v="2024-06-01T00:00:00"/>
    <x v="5"/>
    <x v="13"/>
  </r>
  <r>
    <s v="Brasil"/>
    <s v="Serviços prestados às famílias"/>
    <n v="111.07"/>
    <n v="115.09074"/>
    <d v="2024-07-01T00:00:00"/>
    <x v="6"/>
    <x v="13"/>
  </r>
  <r>
    <s v="Brasil"/>
    <s v="Serviços prestados às famílias"/>
    <n v="109.69"/>
    <n v="107.00818"/>
    <d v="2024-08-01T00:00:00"/>
    <x v="7"/>
    <x v="13"/>
  </r>
  <r>
    <s v="Brasil"/>
    <s v="Serviços prestados às famílias"/>
    <n v="110.75"/>
    <n v="109.05683000000001"/>
    <d v="2024-09-01T00:00:00"/>
    <x v="8"/>
    <x v="13"/>
  </r>
  <r>
    <s v="Brasil"/>
    <s v="Serviços prestados às famílias"/>
    <n v="110.38"/>
    <n v="111.87083"/>
    <d v="2024-10-01T00:00:00"/>
    <x v="9"/>
    <x v="13"/>
  </r>
  <r>
    <s v="Brasil"/>
    <s v="Serviços prestados às famílias"/>
    <n v="110.6"/>
    <n v="114.89087000000001"/>
    <d v="2024-11-01T00:00:00"/>
    <x v="10"/>
    <x v="13"/>
  </r>
  <r>
    <s v="Brasil"/>
    <s v="Serviços prestados às famílias"/>
    <n v="113.35"/>
    <n v="128.48855"/>
    <d v="2024-12-01T00:00:00"/>
    <x v="11"/>
    <x v="13"/>
  </r>
  <r>
    <s v="Brasil"/>
    <s v="Serviços prestados às famílias"/>
    <n v="109.09"/>
    <n v="115.48611"/>
    <d v="2025-01-01T00:00:00"/>
    <x v="0"/>
    <x v="14"/>
  </r>
  <r>
    <s v="Brasil"/>
    <s v="Serviços prestados às famílias"/>
    <n v="110.22"/>
    <n v="98.296390000000002"/>
    <d v="2025-02-01T00:00:00"/>
    <x v="1"/>
    <x v="14"/>
  </r>
  <r>
    <s v="Brasil"/>
    <s v="Serviços prestados às famílias"/>
    <n v="111.72"/>
    <n v="112.07324"/>
    <d v="2025-03-01T00:00:00"/>
    <x v="2"/>
    <x v="14"/>
  </r>
  <r>
    <s v="Brasil"/>
    <s v="Serviços prestados às famílias"/>
    <n v="111.1"/>
    <n v="104.80901"/>
    <d v="2025-04-01T00:00:00"/>
    <x v="3"/>
    <x v="14"/>
  </r>
  <r>
    <s v="Brasil"/>
    <s v="Serviços prestados às famílias"/>
    <n v="110.8"/>
    <n v="107.47199000000001"/>
    <d v="2025-05-01T00:00:00"/>
    <x v="4"/>
    <x v="14"/>
  </r>
  <r>
    <s v="Brasil"/>
    <s v="Serviços prestados às famílias"/>
    <n v="109.4"/>
    <n v="103.19019"/>
    <d v="2025-06-01T00:00:00"/>
    <x v="5"/>
    <x v="14"/>
  </r>
  <r>
    <s v="Brasil"/>
    <s v="Serviços prestados às famílias"/>
    <n v="109.76"/>
    <n v="113.12538000000001"/>
    <d v="2025-07-01T00:00:00"/>
    <x v="6"/>
    <x v="14"/>
  </r>
  <r>
    <s v="Brasil"/>
    <s v="Serviços prestados às famílias"/>
    <n v="110.89"/>
    <n v="108.28099"/>
    <d v="2025-08-01T00:00:00"/>
    <x v="7"/>
    <x v="14"/>
  </r>
  <r>
    <s v="Brasil"/>
    <s v="Serviços de informação e comunicação"/>
    <n v="76.64"/>
    <n v="73.403930000000003"/>
    <d v="2011-01-01T00:00:00"/>
    <x v="0"/>
    <x v="0"/>
  </r>
  <r>
    <s v="Brasil"/>
    <s v="Serviços de informação e comunicação"/>
    <n v="76.540000000000006"/>
    <n v="73.001890000000003"/>
    <d v="2011-02-01T00:00:00"/>
    <x v="1"/>
    <x v="0"/>
  </r>
  <r>
    <s v="Brasil"/>
    <s v="Serviços de informação e comunicação"/>
    <n v="77.02"/>
    <n v="76.851299999999995"/>
    <d v="2011-03-01T00:00:00"/>
    <x v="2"/>
    <x v="0"/>
  </r>
  <r>
    <s v="Brasil"/>
    <s v="Serviços de informação e comunicação"/>
    <n v="78"/>
    <n v="75.950069999999997"/>
    <d v="2011-04-01T00:00:00"/>
    <x v="3"/>
    <x v="0"/>
  </r>
  <r>
    <s v="Brasil"/>
    <s v="Serviços de informação e comunicação"/>
    <n v="77.81"/>
    <n v="77.319940000000003"/>
    <d v="2011-05-01T00:00:00"/>
    <x v="4"/>
    <x v="0"/>
  </r>
  <r>
    <s v="Brasil"/>
    <s v="Serviços de informação e comunicação"/>
    <n v="78.459999999999994"/>
    <n v="78.764849999999996"/>
    <d v="2011-06-01T00:00:00"/>
    <x v="5"/>
    <x v="0"/>
  </r>
  <r>
    <s v="Brasil"/>
    <s v="Serviços de informação e comunicação"/>
    <n v="79.900000000000006"/>
    <n v="78.139709999999994"/>
    <d v="2011-07-01T00:00:00"/>
    <x v="6"/>
    <x v="0"/>
  </r>
  <r>
    <s v="Brasil"/>
    <s v="Serviços de informação e comunicação"/>
    <n v="80.430000000000007"/>
    <n v="80.048940000000002"/>
    <d v="2011-08-01T00:00:00"/>
    <x v="7"/>
    <x v="0"/>
  </r>
  <r>
    <s v="Brasil"/>
    <s v="Serviços de informação e comunicação"/>
    <n v="80.760000000000005"/>
    <n v="81.251149999999996"/>
    <d v="2011-09-01T00:00:00"/>
    <x v="8"/>
    <x v="0"/>
  </r>
  <r>
    <s v="Brasil"/>
    <s v="Serviços de informação e comunicação"/>
    <n v="80.47"/>
    <n v="80.385750000000002"/>
    <d v="2011-10-01T00:00:00"/>
    <x v="9"/>
    <x v="0"/>
  </r>
  <r>
    <s v="Brasil"/>
    <s v="Serviços de informação e comunicação"/>
    <n v="80.41"/>
    <n v="82.085599999999999"/>
    <d v="2011-11-01T00:00:00"/>
    <x v="10"/>
    <x v="0"/>
  </r>
  <r>
    <s v="Brasil"/>
    <s v="Serviços de informação e comunicação"/>
    <n v="79.87"/>
    <n v="88.704610000000002"/>
    <d v="2011-12-01T00:00:00"/>
    <x v="11"/>
    <x v="0"/>
  </r>
  <r>
    <s v="Brasil"/>
    <s v="Serviços de informação e comunicação"/>
    <n v="80.58"/>
    <n v="77.981740000000002"/>
    <d v="2012-01-01T00:00:00"/>
    <x v="0"/>
    <x v="1"/>
  </r>
  <r>
    <s v="Brasil"/>
    <s v="Serviços de informação e comunicação"/>
    <n v="83.47"/>
    <n v="78.670580000000001"/>
    <d v="2012-02-01T00:00:00"/>
    <x v="1"/>
    <x v="1"/>
  </r>
  <r>
    <s v="Brasil"/>
    <s v="Serviços de informação e comunicação"/>
    <n v="81.77"/>
    <n v="82.535920000000004"/>
    <d v="2012-03-01T00:00:00"/>
    <x v="2"/>
    <x v="1"/>
  </r>
  <r>
    <s v="Brasil"/>
    <s v="Serviços de informação e comunicação"/>
    <n v="80.28"/>
    <n v="78.013829999999999"/>
    <d v="2012-04-01T00:00:00"/>
    <x v="3"/>
    <x v="1"/>
  </r>
  <r>
    <s v="Brasil"/>
    <s v="Serviços de informação e comunicação"/>
    <n v="82.74"/>
    <n v="82.578130000000002"/>
    <d v="2012-05-01T00:00:00"/>
    <x v="4"/>
    <x v="1"/>
  </r>
  <r>
    <s v="Brasil"/>
    <s v="Serviços de informação e comunicação"/>
    <n v="81.75"/>
    <n v="81.960639999999998"/>
    <d v="2012-06-01T00:00:00"/>
    <x v="5"/>
    <x v="1"/>
  </r>
  <r>
    <s v="Brasil"/>
    <s v="Serviços de informação e comunicação"/>
    <n v="82.78"/>
    <n v="81.251360000000005"/>
    <d v="2012-07-01T00:00:00"/>
    <x v="6"/>
    <x v="1"/>
  </r>
  <r>
    <s v="Brasil"/>
    <s v="Serviços de informação e comunicação"/>
    <n v="83.56"/>
    <n v="83.320719999999994"/>
    <d v="2012-08-01T00:00:00"/>
    <x v="7"/>
    <x v="1"/>
  </r>
  <r>
    <s v="Brasil"/>
    <s v="Serviços de informação e comunicação"/>
    <n v="82.86"/>
    <n v="82.372810000000001"/>
    <d v="2012-09-01T00:00:00"/>
    <x v="8"/>
    <x v="1"/>
  </r>
  <r>
    <s v="Brasil"/>
    <s v="Serviços de informação e comunicação"/>
    <n v="83.23"/>
    <n v="84.044219999999996"/>
    <d v="2012-10-01T00:00:00"/>
    <x v="9"/>
    <x v="1"/>
  </r>
  <r>
    <s v="Brasil"/>
    <s v="Serviços de informação e comunicação"/>
    <n v="84.2"/>
    <n v="85.947329999999994"/>
    <d v="2012-11-01T00:00:00"/>
    <x v="10"/>
    <x v="1"/>
  </r>
  <r>
    <s v="Brasil"/>
    <s v="Serviços de informação e comunicação"/>
    <n v="85.58"/>
    <n v="93.768900000000002"/>
    <d v="2012-12-01T00:00:00"/>
    <x v="11"/>
    <x v="1"/>
  </r>
  <r>
    <s v="Brasil"/>
    <s v="Serviços de informação e comunicação"/>
    <n v="84.87"/>
    <n v="82.623559999999998"/>
    <d v="2013-01-01T00:00:00"/>
    <x v="0"/>
    <x v="2"/>
  </r>
  <r>
    <s v="Brasil"/>
    <s v="Serviços de informação e comunicação"/>
    <n v="85.96"/>
    <n v="81.277199999999993"/>
    <d v="2013-02-01T00:00:00"/>
    <x v="1"/>
    <x v="2"/>
  </r>
  <r>
    <s v="Brasil"/>
    <s v="Serviços de informação e comunicação"/>
    <n v="85.55"/>
    <n v="85.751739999999998"/>
    <d v="2013-03-01T00:00:00"/>
    <x v="2"/>
    <x v="2"/>
  </r>
  <r>
    <s v="Brasil"/>
    <s v="Serviços de informação e comunicação"/>
    <n v="86.77"/>
    <n v="85.155370000000005"/>
    <d v="2013-04-01T00:00:00"/>
    <x v="3"/>
    <x v="2"/>
  </r>
  <r>
    <s v="Brasil"/>
    <s v="Serviços de informação e comunicação"/>
    <n v="86.74"/>
    <n v="86.635750000000002"/>
    <d v="2013-05-01T00:00:00"/>
    <x v="4"/>
    <x v="2"/>
  </r>
  <r>
    <s v="Brasil"/>
    <s v="Serviços de informação e comunicação"/>
    <n v="87.53"/>
    <n v="87.389089999999996"/>
    <d v="2013-06-01T00:00:00"/>
    <x v="5"/>
    <x v="2"/>
  </r>
  <r>
    <s v="Brasil"/>
    <s v="Serviços de informação e comunicação"/>
    <n v="88.18"/>
    <n v="86.801969999999997"/>
    <d v="2013-07-01T00:00:00"/>
    <x v="6"/>
    <x v="2"/>
  </r>
  <r>
    <s v="Brasil"/>
    <s v="Serviços de informação e comunicação"/>
    <n v="87.82"/>
    <n v="87.170209999999997"/>
    <d v="2013-08-01T00:00:00"/>
    <x v="7"/>
    <x v="2"/>
  </r>
  <r>
    <s v="Brasil"/>
    <s v="Serviços de informação e comunicação"/>
    <n v="89.04"/>
    <n v="89.001599999999996"/>
    <d v="2013-09-01T00:00:00"/>
    <x v="8"/>
    <x v="2"/>
  </r>
  <r>
    <s v="Brasil"/>
    <s v="Serviços de informação e comunicação"/>
    <n v="90.05"/>
    <n v="90.835120000000003"/>
    <d v="2013-10-01T00:00:00"/>
    <x v="9"/>
    <x v="2"/>
  </r>
  <r>
    <s v="Brasil"/>
    <s v="Serviços de informação e comunicação"/>
    <n v="90.76"/>
    <n v="91.905590000000004"/>
    <d v="2013-11-01T00:00:00"/>
    <x v="10"/>
    <x v="2"/>
  </r>
  <r>
    <s v="Brasil"/>
    <s v="Serviços de informação e comunicação"/>
    <n v="90.9"/>
    <n v="99.766739999999999"/>
    <d v="2013-12-01T00:00:00"/>
    <x v="11"/>
    <x v="2"/>
  </r>
  <r>
    <s v="Brasil"/>
    <s v="Serviços de informação e comunicação"/>
    <n v="91.84"/>
    <n v="89.721230000000006"/>
    <d v="2014-01-01T00:00:00"/>
    <x v="0"/>
    <x v="3"/>
  </r>
  <r>
    <s v="Brasil"/>
    <s v="Serviços de informação e comunicação"/>
    <n v="90.22"/>
    <n v="86.607209999999995"/>
    <d v="2014-02-01T00:00:00"/>
    <x v="1"/>
    <x v="3"/>
  </r>
  <r>
    <s v="Brasil"/>
    <s v="Serviços de informação e comunicação"/>
    <n v="92.19"/>
    <n v="91.364329999999995"/>
    <d v="2014-03-01T00:00:00"/>
    <x v="2"/>
    <x v="3"/>
  </r>
  <r>
    <s v="Brasil"/>
    <s v="Serviços de informação e comunicação"/>
    <n v="91.44"/>
    <n v="89.486189999999993"/>
    <d v="2014-04-01T00:00:00"/>
    <x v="3"/>
    <x v="3"/>
  </r>
  <r>
    <s v="Brasil"/>
    <s v="Serviços de informação e comunicação"/>
    <n v="91.88"/>
    <n v="91.409760000000006"/>
    <d v="2014-05-01T00:00:00"/>
    <x v="4"/>
    <x v="3"/>
  </r>
  <r>
    <s v="Brasil"/>
    <s v="Serviços de informação e comunicação"/>
    <n v="93.06"/>
    <n v="93.422389999999993"/>
    <d v="2014-06-01T00:00:00"/>
    <x v="5"/>
    <x v="3"/>
  </r>
  <r>
    <s v="Brasil"/>
    <s v="Serviços de informação e comunicação"/>
    <n v="91.61"/>
    <n v="90.300200000000004"/>
    <d v="2014-07-01T00:00:00"/>
    <x v="6"/>
    <x v="3"/>
  </r>
  <r>
    <s v="Brasil"/>
    <s v="Serviços de informação e comunicação"/>
    <n v="91.13"/>
    <n v="90.212729999999993"/>
    <d v="2014-08-01T00:00:00"/>
    <x v="7"/>
    <x v="3"/>
  </r>
  <r>
    <s v="Brasil"/>
    <s v="Serviços de informação e comunicação"/>
    <n v="92.54"/>
    <n v="93.023769999999999"/>
    <d v="2014-09-01T00:00:00"/>
    <x v="8"/>
    <x v="3"/>
  </r>
  <r>
    <s v="Brasil"/>
    <s v="Serviços de informação e comunicação"/>
    <n v="93.78"/>
    <n v="94.42577"/>
    <d v="2014-10-01T00:00:00"/>
    <x v="9"/>
    <x v="3"/>
  </r>
  <r>
    <s v="Brasil"/>
    <s v="Serviços de informação e comunicação"/>
    <n v="94.38"/>
    <n v="94.868930000000006"/>
    <d v="2014-11-01T00:00:00"/>
    <x v="10"/>
    <x v="3"/>
  </r>
  <r>
    <s v="Brasil"/>
    <s v="Serviços de informação e comunicação"/>
    <n v="90.75"/>
    <n v="99.860500000000002"/>
    <d v="2014-12-01T00:00:00"/>
    <x v="11"/>
    <x v="3"/>
  </r>
  <r>
    <s v="Brasil"/>
    <s v="Serviços de informação e comunicação"/>
    <n v="92.33"/>
    <n v="89.912869999999998"/>
    <d v="2015-01-01T00:00:00"/>
    <x v="0"/>
    <x v="4"/>
  </r>
  <r>
    <s v="Brasil"/>
    <s v="Serviços de informação e comunicação"/>
    <n v="94.05"/>
    <n v="89.493880000000004"/>
    <d v="2015-02-01T00:00:00"/>
    <x v="1"/>
    <x v="4"/>
  </r>
  <r>
    <s v="Brasil"/>
    <s v="Serviços de informação e comunicação"/>
    <n v="95.38"/>
    <n v="96.144490000000005"/>
    <d v="2015-03-01T00:00:00"/>
    <x v="2"/>
    <x v="4"/>
  </r>
  <r>
    <s v="Brasil"/>
    <s v="Serviços de informação e comunicação"/>
    <n v="92.59"/>
    <n v="90.39958"/>
    <d v="2015-04-01T00:00:00"/>
    <x v="3"/>
    <x v="4"/>
  </r>
  <r>
    <s v="Brasil"/>
    <s v="Serviços de informação e comunicação"/>
    <n v="92.56"/>
    <n v="91.825649999999996"/>
    <d v="2015-05-01T00:00:00"/>
    <x v="4"/>
    <x v="4"/>
  </r>
  <r>
    <s v="Brasil"/>
    <s v="Serviços de informação e comunicação"/>
    <n v="91.64"/>
    <n v="92.650739999999999"/>
    <d v="2015-06-01T00:00:00"/>
    <x v="5"/>
    <x v="4"/>
  </r>
  <r>
    <s v="Brasil"/>
    <s v="Serviços de informação e comunicação"/>
    <n v="91.36"/>
    <n v="90.113669999999999"/>
    <d v="2015-07-01T00:00:00"/>
    <x v="6"/>
    <x v="4"/>
  </r>
  <r>
    <s v="Brasil"/>
    <s v="Serviços de informação e comunicação"/>
    <n v="91.58"/>
    <n v="90.414699999999996"/>
    <d v="2015-08-01T00:00:00"/>
    <x v="7"/>
    <x v="4"/>
  </r>
  <r>
    <s v="Brasil"/>
    <s v="Serviços de informação e comunicação"/>
    <n v="91.87"/>
    <n v="92.420069999999996"/>
    <d v="2015-09-01T00:00:00"/>
    <x v="8"/>
    <x v="4"/>
  </r>
  <r>
    <s v="Brasil"/>
    <s v="Serviços de informação e comunicação"/>
    <n v="91.44"/>
    <n v="91.371639999999999"/>
    <d v="2015-10-01T00:00:00"/>
    <x v="9"/>
    <x v="4"/>
  </r>
  <r>
    <s v="Brasil"/>
    <s v="Serviços de informação e comunicação"/>
    <n v="90.04"/>
    <n v="90.794179999999997"/>
    <d v="2015-11-01T00:00:00"/>
    <x v="10"/>
    <x v="4"/>
  </r>
  <r>
    <s v="Brasil"/>
    <s v="Serviços de informação e comunicação"/>
    <n v="90.17"/>
    <n v="99.481160000000003"/>
    <d v="2015-12-01T00:00:00"/>
    <x v="11"/>
    <x v="4"/>
  </r>
  <r>
    <s v="Brasil"/>
    <s v="Serviços de informação e comunicação"/>
    <n v="90.76"/>
    <n v="88.052480000000003"/>
    <d v="2016-01-01T00:00:00"/>
    <x v="0"/>
    <x v="5"/>
  </r>
  <r>
    <s v="Brasil"/>
    <s v="Serviços de informação e comunicação"/>
    <n v="89.53"/>
    <n v="84.938069999999996"/>
    <d v="2016-02-01T00:00:00"/>
    <x v="1"/>
    <x v="5"/>
  </r>
  <r>
    <s v="Brasil"/>
    <s v="Serviços de informação e comunicação"/>
    <n v="89.71"/>
    <n v="90.497439999999997"/>
    <d v="2016-03-01T00:00:00"/>
    <x v="2"/>
    <x v="5"/>
  </r>
  <r>
    <s v="Brasil"/>
    <s v="Serviços de informação e comunicação"/>
    <n v="89.82"/>
    <n v="87.703710000000001"/>
    <d v="2016-04-01T00:00:00"/>
    <x v="3"/>
    <x v="5"/>
  </r>
  <r>
    <s v="Brasil"/>
    <s v="Serviços de informação e comunicação"/>
    <n v="89.96"/>
    <n v="89.42962"/>
    <d v="2016-05-01T00:00:00"/>
    <x v="4"/>
    <x v="5"/>
  </r>
  <r>
    <s v="Brasil"/>
    <s v="Serviços de informação e comunicação"/>
    <n v="90.1"/>
    <n v="91.143079999999998"/>
    <d v="2016-06-01T00:00:00"/>
    <x v="5"/>
    <x v="5"/>
  </r>
  <r>
    <s v="Brasil"/>
    <s v="Serviços de informação e comunicação"/>
    <n v="90.68"/>
    <n v="88.756280000000004"/>
    <d v="2016-07-01T00:00:00"/>
    <x v="6"/>
    <x v="5"/>
  </r>
  <r>
    <s v="Brasil"/>
    <s v="Serviços de informação e comunicação"/>
    <n v="90.37"/>
    <n v="90.217370000000003"/>
    <d v="2016-08-01T00:00:00"/>
    <x v="7"/>
    <x v="5"/>
  </r>
  <r>
    <s v="Brasil"/>
    <s v="Serviços de informação e comunicação"/>
    <n v="89.93"/>
    <n v="90.670249999999996"/>
    <d v="2016-09-01T00:00:00"/>
    <x v="8"/>
    <x v="5"/>
  </r>
  <r>
    <s v="Brasil"/>
    <s v="Serviços de informação e comunicação"/>
    <n v="88.31"/>
    <n v="87.371759999999995"/>
    <d v="2016-10-01T00:00:00"/>
    <x v="9"/>
    <x v="5"/>
  </r>
  <r>
    <s v="Brasil"/>
    <s v="Serviços de informação e comunicação"/>
    <n v="86.91"/>
    <n v="88.061589999999995"/>
    <d v="2016-11-01T00:00:00"/>
    <x v="10"/>
    <x v="5"/>
  </r>
  <r>
    <s v="Brasil"/>
    <s v="Serviços de informação e comunicação"/>
    <n v="83.84"/>
    <n v="92.993690000000001"/>
    <d v="2016-12-01T00:00:00"/>
    <x v="11"/>
    <x v="5"/>
  </r>
  <r>
    <s v="Brasil"/>
    <s v="Serviços de informação e comunicação"/>
    <n v="90.32"/>
    <n v="87.906670000000005"/>
    <d v="2017-01-01T00:00:00"/>
    <x v="0"/>
    <x v="6"/>
  </r>
  <r>
    <s v="Brasil"/>
    <s v="Serviços de informação e comunicação"/>
    <n v="89.94"/>
    <n v="85.332920000000001"/>
    <d v="2017-02-01T00:00:00"/>
    <x v="1"/>
    <x v="6"/>
  </r>
  <r>
    <s v="Brasil"/>
    <s v="Serviços de informação e comunicação"/>
    <n v="87.48"/>
    <n v="88.646739999999994"/>
    <d v="2017-03-01T00:00:00"/>
    <x v="2"/>
    <x v="6"/>
  </r>
  <r>
    <s v="Brasil"/>
    <s v="Serviços de informação e comunicação"/>
    <n v="88.51"/>
    <n v="85.462479999999999"/>
    <d v="2017-04-01T00:00:00"/>
    <x v="3"/>
    <x v="6"/>
  </r>
  <r>
    <s v="Brasil"/>
    <s v="Serviços de informação e comunicação"/>
    <n v="86.97"/>
    <n v="86.906869999999998"/>
    <d v="2017-05-01T00:00:00"/>
    <x v="4"/>
    <x v="6"/>
  </r>
  <r>
    <s v="Brasil"/>
    <s v="Serviços de informação e comunicação"/>
    <n v="87.45"/>
    <n v="88.62021"/>
    <d v="2017-06-01T00:00:00"/>
    <x v="5"/>
    <x v="6"/>
  </r>
  <r>
    <s v="Brasil"/>
    <s v="Serviços de informação e comunicação"/>
    <n v="87.3"/>
    <n v="85.138859999999994"/>
    <d v="2017-07-01T00:00:00"/>
    <x v="6"/>
    <x v="6"/>
  </r>
  <r>
    <s v="Brasil"/>
    <s v="Serviços de informação e comunicação"/>
    <n v="87.07"/>
    <n v="87.103170000000006"/>
    <d v="2017-08-01T00:00:00"/>
    <x v="7"/>
    <x v="6"/>
  </r>
  <r>
    <s v="Brasil"/>
    <s v="Serviços de informação e comunicação"/>
    <n v="85.22"/>
    <n v="85.442589999999996"/>
    <d v="2017-09-01T00:00:00"/>
    <x v="8"/>
    <x v="6"/>
  </r>
  <r>
    <s v="Brasil"/>
    <s v="Serviços de informação e comunicação"/>
    <n v="85.81"/>
    <n v="85.393720000000002"/>
    <d v="2017-10-01T00:00:00"/>
    <x v="9"/>
    <x v="6"/>
  </r>
  <r>
    <s v="Brasil"/>
    <s v="Serviços de informação e comunicação"/>
    <n v="86.32"/>
    <n v="87.379249999999999"/>
    <d v="2017-11-01T00:00:00"/>
    <x v="10"/>
    <x v="6"/>
  </r>
  <r>
    <s v="Brasil"/>
    <s v="Serviços de informação e comunicação"/>
    <n v="85.96"/>
    <n v="95.103930000000005"/>
    <d v="2017-12-01T00:00:00"/>
    <x v="11"/>
    <x v="6"/>
  </r>
  <r>
    <s v="Brasil"/>
    <s v="Serviços de informação e comunicação"/>
    <n v="85.83"/>
    <n v="83.538979999999995"/>
    <d v="2018-01-01T00:00:00"/>
    <x v="0"/>
    <x v="7"/>
  </r>
  <r>
    <s v="Brasil"/>
    <s v="Serviços de informação e comunicação"/>
    <n v="85.52"/>
    <n v="80.85342"/>
    <d v="2018-02-01T00:00:00"/>
    <x v="1"/>
    <x v="7"/>
  </r>
  <r>
    <s v="Brasil"/>
    <s v="Serviços de informação e comunicação"/>
    <n v="87.51"/>
    <n v="87.838890000000006"/>
    <d v="2018-03-01T00:00:00"/>
    <x v="2"/>
    <x v="7"/>
  </r>
  <r>
    <s v="Brasil"/>
    <s v="Serviços de informação e comunicação"/>
    <n v="86.98"/>
    <n v="84.519540000000006"/>
    <d v="2018-04-01T00:00:00"/>
    <x v="3"/>
    <x v="7"/>
  </r>
  <r>
    <s v="Brasil"/>
    <s v="Serviços de informação e comunicação"/>
    <n v="85.75"/>
    <n v="85.662469999999999"/>
    <d v="2018-05-01T00:00:00"/>
    <x v="4"/>
    <x v="7"/>
  </r>
  <r>
    <s v="Brasil"/>
    <s v="Serviços de informação e comunicação"/>
    <n v="89.25"/>
    <n v="89.902780000000007"/>
    <d v="2018-06-01T00:00:00"/>
    <x v="5"/>
    <x v="7"/>
  </r>
  <r>
    <s v="Brasil"/>
    <s v="Serviços de informação e comunicação"/>
    <n v="86.64"/>
    <n v="85.212879999999998"/>
    <d v="2018-07-01T00:00:00"/>
    <x v="6"/>
    <x v="7"/>
  </r>
  <r>
    <s v="Brasil"/>
    <s v="Serviços de informação e comunicação"/>
    <n v="85.94"/>
    <n v="86.127709999999993"/>
    <d v="2018-08-01T00:00:00"/>
    <x v="7"/>
    <x v="7"/>
  </r>
  <r>
    <s v="Brasil"/>
    <s v="Serviços de informação e comunicação"/>
    <n v="87.96"/>
    <n v="87.531049999999993"/>
    <d v="2018-09-01T00:00:00"/>
    <x v="8"/>
    <x v="7"/>
  </r>
  <r>
    <s v="Brasil"/>
    <s v="Serviços de informação e comunicação"/>
    <n v="86.68"/>
    <n v="86.594480000000004"/>
    <d v="2018-10-01T00:00:00"/>
    <x v="9"/>
    <x v="7"/>
  </r>
  <r>
    <s v="Brasil"/>
    <s v="Serviços de informação e comunicação"/>
    <n v="86.75"/>
    <n v="88.445750000000004"/>
    <d v="2018-11-01T00:00:00"/>
    <x v="10"/>
    <x v="7"/>
  </r>
  <r>
    <s v="Brasil"/>
    <s v="Serviços de informação e comunicação"/>
    <n v="88.56"/>
    <n v="97.756649999999993"/>
    <d v="2018-12-01T00:00:00"/>
    <x v="11"/>
    <x v="7"/>
  </r>
  <r>
    <s v="Brasil"/>
    <s v="Serviços de informação e comunicação"/>
    <n v="88.71"/>
    <n v="86.359989999999996"/>
    <d v="2019-01-01T00:00:00"/>
    <x v="0"/>
    <x v="8"/>
  </r>
  <r>
    <s v="Brasil"/>
    <s v="Serviços de informação e comunicação"/>
    <n v="89.53"/>
    <n v="85.829409999999996"/>
    <d v="2019-02-01T00:00:00"/>
    <x v="1"/>
    <x v="8"/>
  </r>
  <r>
    <s v="Brasil"/>
    <s v="Serviços de informação e comunicação"/>
    <n v="89.52"/>
    <n v="88.415509999999998"/>
    <d v="2019-03-01T00:00:00"/>
    <x v="2"/>
    <x v="8"/>
  </r>
  <r>
    <s v="Brasil"/>
    <s v="Serviços de informação e comunicação"/>
    <n v="88.81"/>
    <n v="86.327749999999995"/>
    <d v="2019-04-01T00:00:00"/>
    <x v="3"/>
    <x v="8"/>
  </r>
  <r>
    <s v="Brasil"/>
    <s v="Serviços de informação e comunicação"/>
    <n v="90.01"/>
    <n v="89.813730000000007"/>
    <d v="2019-05-01T00:00:00"/>
    <x v="4"/>
    <x v="8"/>
  </r>
  <r>
    <s v="Brasil"/>
    <s v="Serviços de informação e comunicação"/>
    <n v="88.94"/>
    <n v="89.048310000000001"/>
    <d v="2019-06-01T00:00:00"/>
    <x v="5"/>
    <x v="8"/>
  </r>
  <r>
    <s v="Brasil"/>
    <s v="Serviços de informação e comunicação"/>
    <n v="89.6"/>
    <n v="88.404929999999993"/>
    <d v="2019-07-01T00:00:00"/>
    <x v="6"/>
    <x v="8"/>
  </r>
  <r>
    <s v="Brasil"/>
    <s v="Serviços de informação e comunicação"/>
    <n v="90.31"/>
    <n v="90.114130000000003"/>
    <d v="2019-08-01T00:00:00"/>
    <x v="7"/>
    <x v="8"/>
  </r>
  <r>
    <s v="Brasil"/>
    <s v="Serviços de informação e comunicação"/>
    <n v="89.82"/>
    <n v="89.829819999999998"/>
    <d v="2019-09-01T00:00:00"/>
    <x v="8"/>
    <x v="8"/>
  </r>
  <r>
    <s v="Brasil"/>
    <s v="Serviços de informação e comunicação"/>
    <n v="90.75"/>
    <n v="91.012889999999999"/>
    <d v="2019-10-01T00:00:00"/>
    <x v="9"/>
    <x v="8"/>
  </r>
  <r>
    <s v="Brasil"/>
    <s v="Serviços de informação e comunicação"/>
    <n v="90.18"/>
    <n v="91.910870000000003"/>
    <d v="2019-11-01T00:00:00"/>
    <x v="10"/>
    <x v="8"/>
  </r>
  <r>
    <s v="Brasil"/>
    <s v="Serviços de informação e comunicação"/>
    <n v="90.61"/>
    <n v="100.80436"/>
    <d v="2019-12-01T00:00:00"/>
    <x v="11"/>
    <x v="8"/>
  </r>
  <r>
    <s v="Brasil"/>
    <s v="Serviços de informação e comunicação"/>
    <n v="90.63"/>
    <n v="88.074449999999999"/>
    <d v="2020-01-01T00:00:00"/>
    <x v="0"/>
    <x v="9"/>
  </r>
  <r>
    <s v="Brasil"/>
    <s v="Serviços de informação e comunicação"/>
    <n v="91.18"/>
    <n v="85.512410000000003"/>
    <d v="2020-02-01T00:00:00"/>
    <x v="1"/>
    <x v="9"/>
  </r>
  <r>
    <s v="Brasil"/>
    <s v="Serviços de informação e comunicação"/>
    <n v="87.96"/>
    <n v="88.198679999999996"/>
    <d v="2020-03-01T00:00:00"/>
    <x v="2"/>
    <x v="9"/>
  </r>
  <r>
    <s v="Brasil"/>
    <s v="Serviços de informação e comunicação"/>
    <n v="85.21"/>
    <n v="82.279169999999993"/>
    <d v="2020-04-01T00:00:00"/>
    <x v="3"/>
    <x v="9"/>
  </r>
  <r>
    <s v="Brasil"/>
    <s v="Serviços de informação e comunicação"/>
    <n v="82.97"/>
    <n v="81.808819999999997"/>
    <d v="2020-05-01T00:00:00"/>
    <x v="4"/>
    <x v="9"/>
  </r>
  <r>
    <s v="Brasil"/>
    <s v="Serviços de informação e comunicação"/>
    <n v="85.41"/>
    <n v="86.374989999999997"/>
    <d v="2020-06-01T00:00:00"/>
    <x v="5"/>
    <x v="9"/>
  </r>
  <r>
    <s v="Brasil"/>
    <s v="Serviços de informação e comunicação"/>
    <n v="87.23"/>
    <n v="86.221010000000007"/>
    <d v="2020-07-01T00:00:00"/>
    <x v="6"/>
    <x v="9"/>
  </r>
  <r>
    <s v="Brasil"/>
    <s v="Serviços de informação e comunicação"/>
    <n v="87.22"/>
    <n v="86.496440000000007"/>
    <d v="2020-08-01T00:00:00"/>
    <x v="7"/>
    <x v="9"/>
  </r>
  <r>
    <s v="Brasil"/>
    <s v="Serviços de informação e comunicação"/>
    <n v="88.54"/>
    <n v="89.070899999999995"/>
    <d v="2020-09-01T00:00:00"/>
    <x v="8"/>
    <x v="9"/>
  </r>
  <r>
    <s v="Brasil"/>
    <s v="Serviços de informação e comunicação"/>
    <n v="90.75"/>
    <n v="90.970389999999995"/>
    <d v="2020-10-01T00:00:00"/>
    <x v="9"/>
    <x v="9"/>
  </r>
  <r>
    <s v="Brasil"/>
    <s v="Serviços de informação e comunicação"/>
    <n v="90.87"/>
    <n v="93.07132"/>
    <d v="2020-11-01T00:00:00"/>
    <x v="10"/>
    <x v="9"/>
  </r>
  <r>
    <s v="Brasil"/>
    <s v="Serviços de informação e comunicação"/>
    <n v="91.82"/>
    <n v="102.62204"/>
    <d v="2020-12-01T00:00:00"/>
    <x v="11"/>
    <x v="9"/>
  </r>
  <r>
    <s v="Brasil"/>
    <s v="Serviços de informação e comunicação"/>
    <n v="92.95"/>
    <n v="89.433539999999994"/>
    <d v="2021-01-01T00:00:00"/>
    <x v="0"/>
    <x v="10"/>
  </r>
  <r>
    <s v="Brasil"/>
    <s v="Serviços de informação e comunicação"/>
    <n v="93.42"/>
    <n v="87.840209999999999"/>
    <d v="2021-02-01T00:00:00"/>
    <x v="1"/>
    <x v="10"/>
  </r>
  <r>
    <s v="Brasil"/>
    <s v="Serviços de informação e comunicação"/>
    <n v="93.47"/>
    <n v="93.794079999999994"/>
    <d v="2021-03-01T00:00:00"/>
    <x v="2"/>
    <x v="10"/>
  </r>
  <r>
    <s v="Brasil"/>
    <s v="Serviços de informação e comunicação"/>
    <n v="95.77"/>
    <n v="92.800259999999994"/>
    <d v="2021-04-01T00:00:00"/>
    <x v="3"/>
    <x v="10"/>
  </r>
  <r>
    <s v="Brasil"/>
    <s v="Serviços de informação e comunicação"/>
    <n v="95.12"/>
    <n v="93.378720000000001"/>
    <d v="2021-05-01T00:00:00"/>
    <x v="4"/>
    <x v="10"/>
  </r>
  <r>
    <s v="Brasil"/>
    <s v="Serviços de informação e comunicação"/>
    <n v="97.42"/>
    <n v="98.327629999999999"/>
    <d v="2021-06-01T00:00:00"/>
    <x v="5"/>
    <x v="10"/>
  </r>
  <r>
    <s v="Brasil"/>
    <s v="Serviços de informação e comunicação"/>
    <n v="97.04"/>
    <n v="95.844269999999995"/>
    <d v="2021-07-01T00:00:00"/>
    <x v="6"/>
    <x v="10"/>
  </r>
  <r>
    <s v="Brasil"/>
    <s v="Serviços de informação e comunicação"/>
    <n v="98.31"/>
    <n v="98.282210000000006"/>
    <d v="2021-08-01T00:00:00"/>
    <x v="7"/>
    <x v="10"/>
  </r>
  <r>
    <s v="Brasil"/>
    <s v="Serviços de informação e comunicação"/>
    <n v="97.56"/>
    <n v="98.114540000000005"/>
    <d v="2021-09-01T00:00:00"/>
    <x v="8"/>
    <x v="10"/>
  </r>
  <r>
    <s v="Brasil"/>
    <s v="Serviços de informação e comunicação"/>
    <n v="96.75"/>
    <n v="96.767399999999995"/>
    <d v="2021-10-01T00:00:00"/>
    <x v="9"/>
    <x v="10"/>
  </r>
  <r>
    <s v="Brasil"/>
    <s v="Serviços de informação e comunicação"/>
    <n v="100.31"/>
    <n v="103.51152999999999"/>
    <d v="2021-11-01T00:00:00"/>
    <x v="10"/>
    <x v="10"/>
  </r>
  <r>
    <s v="Brasil"/>
    <s v="Serviços de informação e comunicação"/>
    <n v="102.03"/>
    <n v="113.05166"/>
    <d v="2021-12-01T00:00:00"/>
    <x v="11"/>
    <x v="10"/>
  </r>
  <r>
    <s v="Brasil"/>
    <s v="Serviços de informação e comunicação"/>
    <n v="97.96"/>
    <n v="93.926090000000002"/>
    <d v="2022-01-01T00:00:00"/>
    <x v="0"/>
    <x v="11"/>
  </r>
  <r>
    <s v="Brasil"/>
    <s v="Serviços de informação e comunicação"/>
    <n v="95.84"/>
    <n v="89.912400000000005"/>
    <d v="2022-02-01T00:00:00"/>
    <x v="1"/>
    <x v="11"/>
  </r>
  <r>
    <s v="Brasil"/>
    <s v="Serviços de informação e comunicação"/>
    <n v="97.13"/>
    <n v="97.457419999999999"/>
    <d v="2022-03-01T00:00:00"/>
    <x v="2"/>
    <x v="11"/>
  </r>
  <r>
    <s v="Brasil"/>
    <s v="Serviços de informação e comunicação"/>
    <n v="98.01"/>
    <n v="94.289199999999994"/>
    <d v="2022-04-01T00:00:00"/>
    <x v="3"/>
    <x v="11"/>
  </r>
  <r>
    <s v="Brasil"/>
    <s v="Serviços de informação e comunicação"/>
    <n v="98.5"/>
    <n v="97.156279999999995"/>
    <d v="2022-05-01T00:00:00"/>
    <x v="4"/>
    <x v="11"/>
  </r>
  <r>
    <s v="Brasil"/>
    <s v="Serviços de informação e comunicação"/>
    <n v="98.42"/>
    <n v="99.168139999999994"/>
    <d v="2022-06-01T00:00:00"/>
    <x v="5"/>
    <x v="11"/>
  </r>
  <r>
    <s v="Brasil"/>
    <s v="Serviços de informação e comunicação"/>
    <n v="99.05"/>
    <n v="97.899720000000002"/>
    <d v="2022-07-01T00:00:00"/>
    <x v="6"/>
    <x v="11"/>
  </r>
  <r>
    <s v="Brasil"/>
    <s v="Serviços de informação e comunicação"/>
    <n v="101.05"/>
    <n v="101.29499"/>
    <d v="2022-08-01T00:00:00"/>
    <x v="7"/>
    <x v="11"/>
  </r>
  <r>
    <s v="Brasil"/>
    <s v="Serviços de informação e comunicação"/>
    <n v="103"/>
    <n v="103.96281999999999"/>
    <d v="2022-09-01T00:00:00"/>
    <x v="8"/>
    <x v="11"/>
  </r>
  <r>
    <s v="Brasil"/>
    <s v="Serviços de informação e comunicação"/>
    <n v="105.24"/>
    <n v="104.88599000000001"/>
    <d v="2022-10-01T00:00:00"/>
    <x v="9"/>
    <x v="11"/>
  </r>
  <r>
    <s v="Brasil"/>
    <s v="Serviços de informação e comunicação"/>
    <n v="103.49"/>
    <n v="107.05065999999999"/>
    <d v="2022-11-01T00:00:00"/>
    <x v="10"/>
    <x v="11"/>
  </r>
  <r>
    <s v="Brasil"/>
    <s v="Serviços de informação e comunicação"/>
    <n v="102.31"/>
    <n v="112.99630000000001"/>
    <d v="2022-12-01T00:00:00"/>
    <x v="11"/>
    <x v="11"/>
  </r>
  <r>
    <s v="Brasil"/>
    <s v="Serviços de informação e comunicação"/>
    <n v="101.2"/>
    <n v="97.697249999999997"/>
    <d v="2023-01-01T00:00:00"/>
    <x v="0"/>
    <x v="12"/>
  </r>
  <r>
    <s v="Brasil"/>
    <s v="Serviços de informação e comunicação"/>
    <n v="102.31"/>
    <n v="96.10333"/>
    <d v="2023-02-01T00:00:00"/>
    <x v="1"/>
    <x v="12"/>
  </r>
  <r>
    <s v="Brasil"/>
    <s v="Serviços de informação e comunicação"/>
    <n v="103.46"/>
    <n v="103.90822"/>
    <d v="2023-03-01T00:00:00"/>
    <x v="2"/>
    <x v="12"/>
  </r>
  <r>
    <s v="Brasil"/>
    <s v="Serviços de informação e comunicação"/>
    <n v="102.53"/>
    <n v="98.064850000000007"/>
    <d v="2023-04-01T00:00:00"/>
    <x v="3"/>
    <x v="12"/>
  </r>
  <r>
    <s v="Brasil"/>
    <s v="Serviços de informação e comunicação"/>
    <n v="103.55"/>
    <n v="102.29018000000001"/>
    <d v="2023-05-01T00:00:00"/>
    <x v="4"/>
    <x v="12"/>
  </r>
  <r>
    <s v="Brasil"/>
    <s v="Serviços de informação e comunicação"/>
    <n v="103.94"/>
    <n v="104.95537"/>
    <d v="2023-06-01T00:00:00"/>
    <x v="5"/>
    <x v="12"/>
  </r>
  <r>
    <s v="Brasil"/>
    <s v="Serviços de informação e comunicação"/>
    <n v="103.41"/>
    <n v="102.28916"/>
    <d v="2023-07-01T00:00:00"/>
    <x v="6"/>
    <x v="12"/>
  </r>
  <r>
    <s v="Brasil"/>
    <s v="Serviços de informação e comunicação"/>
    <n v="103.51"/>
    <n v="103.81393"/>
    <d v="2023-08-01T00:00:00"/>
    <x v="7"/>
    <x v="12"/>
  </r>
  <r>
    <s v="Brasil"/>
    <s v="Serviços de informação e comunicação"/>
    <n v="102.87"/>
    <n v="103.54853"/>
    <d v="2023-09-01T00:00:00"/>
    <x v="8"/>
    <x v="12"/>
  </r>
  <r>
    <s v="Brasil"/>
    <s v="Serviços de informação e comunicação"/>
    <n v="104.48"/>
    <n v="104.61451"/>
    <d v="2023-10-01T00:00:00"/>
    <x v="9"/>
    <x v="12"/>
  </r>
  <r>
    <s v="Brasil"/>
    <s v="Serviços de informação e comunicação"/>
    <n v="105.6"/>
    <n v="109.11827"/>
    <d v="2023-11-01T00:00:00"/>
    <x v="10"/>
    <x v="12"/>
  </r>
  <r>
    <s v="Brasil"/>
    <s v="Serviços de informação e comunicação"/>
    <n v="106.44"/>
    <n v="116.82134000000001"/>
    <d v="2023-12-01T00:00:00"/>
    <x v="11"/>
    <x v="12"/>
  </r>
  <r>
    <s v="Brasil"/>
    <s v="Serviços de informação e comunicação"/>
    <n v="107.25"/>
    <n v="103.87416"/>
    <d v="2024-01-01T00:00:00"/>
    <x v="0"/>
    <x v="13"/>
  </r>
  <r>
    <s v="Brasil"/>
    <s v="Serviços de informação e comunicação"/>
    <n v="106.97"/>
    <n v="100.62582999999999"/>
    <d v="2024-02-01T00:00:00"/>
    <x v="1"/>
    <x v="13"/>
  </r>
  <r>
    <s v="Brasil"/>
    <s v="Serviços de informação e comunicação"/>
    <n v="108.91"/>
    <n v="108.49281999999999"/>
    <d v="2024-03-01T00:00:00"/>
    <x v="2"/>
    <x v="13"/>
  </r>
  <r>
    <s v="Brasil"/>
    <s v="Serviços de informação e comunicação"/>
    <n v="108.79"/>
    <n v="105.33583"/>
    <d v="2024-04-01T00:00:00"/>
    <x v="3"/>
    <x v="13"/>
  </r>
  <r>
    <s v="Brasil"/>
    <s v="Serviços de informação e comunicação"/>
    <n v="107.38"/>
    <n v="106.18621"/>
    <d v="2024-05-01T00:00:00"/>
    <x v="4"/>
    <x v="13"/>
  </r>
  <r>
    <s v="Brasil"/>
    <s v="Serviços de informação e comunicação"/>
    <n v="109.47"/>
    <n v="109.52518000000001"/>
    <d v="2024-06-01T00:00:00"/>
    <x v="5"/>
    <x v="13"/>
  </r>
  <r>
    <s v="Brasil"/>
    <s v="Serviços de informação e comunicação"/>
    <n v="111.86"/>
    <n v="111.93313000000001"/>
    <d v="2024-07-01T00:00:00"/>
    <x v="6"/>
    <x v="13"/>
  </r>
  <r>
    <s v="Brasil"/>
    <s v="Serviços de informação e comunicação"/>
    <n v="111.29"/>
    <n v="111.20023999999999"/>
    <d v="2024-08-01T00:00:00"/>
    <x v="7"/>
    <x v="13"/>
  </r>
  <r>
    <s v="Brasil"/>
    <s v="Serviços de informação e comunicação"/>
    <n v="112.72"/>
    <n v="113.27705"/>
    <d v="2024-09-01T00:00:00"/>
    <x v="8"/>
    <x v="13"/>
  </r>
  <r>
    <s v="Brasil"/>
    <s v="Serviços de informação e comunicação"/>
    <n v="111.36"/>
    <n v="111.67604"/>
    <d v="2024-10-01T00:00:00"/>
    <x v="9"/>
    <x v="13"/>
  </r>
  <r>
    <s v="Brasil"/>
    <s v="Serviços de informação e comunicação"/>
    <n v="111.78"/>
    <n v="115.11194"/>
    <d v="2024-11-01T00:00:00"/>
    <x v="10"/>
    <x v="13"/>
  </r>
  <r>
    <s v="Brasil"/>
    <s v="Serviços de informação e comunicação"/>
    <n v="112.52"/>
    <n v="123.22044"/>
    <d v="2024-12-01T00:00:00"/>
    <x v="11"/>
    <x v="13"/>
  </r>
  <r>
    <s v="Brasil"/>
    <s v="Serviços de informação e comunicação"/>
    <n v="113.42"/>
    <n v="110.17434"/>
    <d v="2025-01-01T00:00:00"/>
    <x v="0"/>
    <x v="14"/>
  </r>
  <r>
    <s v="Brasil"/>
    <s v="Serviços de informação e comunicação"/>
    <n v="115.97"/>
    <n v="110.48932000000001"/>
    <d v="2025-02-01T00:00:00"/>
    <x v="1"/>
    <x v="14"/>
  </r>
  <r>
    <s v="Brasil"/>
    <s v="Serviços de informação e comunicação"/>
    <n v="113.9"/>
    <n v="112.66491000000001"/>
    <d v="2025-03-01T00:00:00"/>
    <x v="2"/>
    <x v="14"/>
  </r>
  <r>
    <s v="Brasil"/>
    <s v="Serviços de informação e comunicação"/>
    <n v="114.59"/>
    <n v="110.79613999999999"/>
    <d v="2025-04-01T00:00:00"/>
    <x v="3"/>
    <x v="14"/>
  </r>
  <r>
    <s v="Brasil"/>
    <s v="Serviços de informação e comunicação"/>
    <n v="114.94"/>
    <n v="113.37607"/>
    <d v="2025-05-01T00:00:00"/>
    <x v="4"/>
    <x v="14"/>
  </r>
  <r>
    <s v="Brasil"/>
    <s v="Serviços de informação e comunicação"/>
    <n v="115.51"/>
    <n v="115.877"/>
    <d v="2025-06-01T00:00:00"/>
    <x v="5"/>
    <x v="14"/>
  </r>
  <r>
    <s v="Brasil"/>
    <s v="Serviços de informação e comunicação"/>
    <n v="115.92"/>
    <n v="116.34139"/>
    <d v="2025-07-01T00:00:00"/>
    <x v="6"/>
    <x v="14"/>
  </r>
  <r>
    <s v="Brasil"/>
    <s v="Serviços de informação e comunicação"/>
    <n v="115.49"/>
    <n v="115.00426"/>
    <d v="2025-08-01T00:00:00"/>
    <x v="7"/>
    <x v="14"/>
  </r>
  <r>
    <s v="Brasil"/>
    <s v="Serviços profissionais, administrativos e complementares"/>
    <n v="109.29"/>
    <n v="101.48199"/>
    <d v="2011-01-01T00:00:00"/>
    <x v="0"/>
    <x v="0"/>
  </r>
  <r>
    <s v="Brasil"/>
    <s v="Serviços profissionais, administrativos e complementares"/>
    <n v="110.27"/>
    <n v="103.30334999999999"/>
    <d v="2011-02-01T00:00:00"/>
    <x v="1"/>
    <x v="0"/>
  </r>
  <r>
    <s v="Brasil"/>
    <s v="Serviços profissionais, administrativos e complementares"/>
    <n v="111.05"/>
    <n v="109.70204"/>
    <d v="2011-03-01T00:00:00"/>
    <x v="2"/>
    <x v="0"/>
  </r>
  <r>
    <s v="Brasil"/>
    <s v="Serviços profissionais, administrativos e complementares"/>
    <n v="111.22"/>
    <n v="108.66972"/>
    <d v="2011-04-01T00:00:00"/>
    <x v="3"/>
    <x v="0"/>
  </r>
  <r>
    <s v="Brasil"/>
    <s v="Serviços profissionais, administrativos e complementares"/>
    <n v="112.57"/>
    <n v="112.07566"/>
    <d v="2011-05-01T00:00:00"/>
    <x v="4"/>
    <x v="0"/>
  </r>
  <r>
    <s v="Brasil"/>
    <s v="Serviços profissionais, administrativos e complementares"/>
    <n v="111.92"/>
    <n v="110.654"/>
    <d v="2011-06-01T00:00:00"/>
    <x v="5"/>
    <x v="0"/>
  </r>
  <r>
    <s v="Brasil"/>
    <s v="Serviços profissionais, administrativos e complementares"/>
    <n v="112.49"/>
    <n v="112.63746"/>
    <d v="2011-07-01T00:00:00"/>
    <x v="6"/>
    <x v="0"/>
  </r>
  <r>
    <s v="Brasil"/>
    <s v="Serviços profissionais, administrativos e complementares"/>
    <n v="115.34"/>
    <n v="115.17283999999999"/>
    <d v="2011-08-01T00:00:00"/>
    <x v="7"/>
    <x v="0"/>
  </r>
  <r>
    <s v="Brasil"/>
    <s v="Serviços profissionais, administrativos e complementares"/>
    <n v="114.11"/>
    <n v="113.86852"/>
    <d v="2011-09-01T00:00:00"/>
    <x v="8"/>
    <x v="0"/>
  </r>
  <r>
    <s v="Brasil"/>
    <s v="Serviços profissionais, administrativos e complementares"/>
    <n v="111.43"/>
    <n v="112.61778"/>
    <d v="2011-10-01T00:00:00"/>
    <x v="9"/>
    <x v="0"/>
  </r>
  <r>
    <s v="Brasil"/>
    <s v="Serviços profissionais, administrativos e complementares"/>
    <n v="115.62"/>
    <n v="119.55535999999999"/>
    <d v="2011-11-01T00:00:00"/>
    <x v="10"/>
    <x v="0"/>
  </r>
  <r>
    <s v="Brasil"/>
    <s v="Serviços profissionais, administrativos e complementares"/>
    <n v="116.61"/>
    <n v="131.91139000000001"/>
    <d v="2011-12-01T00:00:00"/>
    <x v="11"/>
    <x v="0"/>
  </r>
  <r>
    <s v="Brasil"/>
    <s v="Serviços profissionais, administrativos e complementares"/>
    <n v="116.92"/>
    <n v="109.72083000000001"/>
    <d v="2012-01-01T00:00:00"/>
    <x v="0"/>
    <x v="1"/>
  </r>
  <r>
    <s v="Brasil"/>
    <s v="Serviços profissionais, administrativos e complementares"/>
    <n v="117.09"/>
    <n v="107.509"/>
    <d v="2012-02-01T00:00:00"/>
    <x v="1"/>
    <x v="1"/>
  </r>
  <r>
    <s v="Brasil"/>
    <s v="Serviços profissionais, administrativos e complementares"/>
    <n v="119.11"/>
    <n v="119.58172999999999"/>
    <d v="2012-03-01T00:00:00"/>
    <x v="2"/>
    <x v="1"/>
  </r>
  <r>
    <s v="Brasil"/>
    <s v="Serviços profissionais, administrativos e complementares"/>
    <n v="117.14"/>
    <n v="114.11166"/>
    <d v="2012-04-01T00:00:00"/>
    <x v="3"/>
    <x v="1"/>
  </r>
  <r>
    <s v="Brasil"/>
    <s v="Serviços profissionais, administrativos e complementares"/>
    <n v="117.99"/>
    <n v="118.30074"/>
    <d v="2012-05-01T00:00:00"/>
    <x v="4"/>
    <x v="1"/>
  </r>
  <r>
    <s v="Brasil"/>
    <s v="Serviços profissionais, administrativos e complementares"/>
    <n v="118.36"/>
    <n v="116.75896"/>
    <d v="2012-06-01T00:00:00"/>
    <x v="5"/>
    <x v="1"/>
  </r>
  <r>
    <s v="Brasil"/>
    <s v="Serviços profissionais, administrativos e complementares"/>
    <n v="118.84"/>
    <n v="119.54995"/>
    <d v="2012-07-01T00:00:00"/>
    <x v="6"/>
    <x v="1"/>
  </r>
  <r>
    <s v="Brasil"/>
    <s v="Serviços profissionais, administrativos e complementares"/>
    <n v="118.93"/>
    <n v="118.83508"/>
    <d v="2012-08-01T00:00:00"/>
    <x v="7"/>
    <x v="1"/>
  </r>
  <r>
    <s v="Brasil"/>
    <s v="Serviços profissionais, administrativos e complementares"/>
    <n v="117.33"/>
    <n v="115.13236999999999"/>
    <d v="2012-09-01T00:00:00"/>
    <x v="8"/>
    <x v="1"/>
  </r>
  <r>
    <s v="Brasil"/>
    <s v="Serviços profissionais, administrativos e complementares"/>
    <n v="117.58"/>
    <n v="120.56072"/>
    <d v="2012-10-01T00:00:00"/>
    <x v="9"/>
    <x v="1"/>
  </r>
  <r>
    <s v="Brasil"/>
    <s v="Serviços profissionais, administrativos e complementares"/>
    <n v="116.07"/>
    <n v="120.37408000000001"/>
    <d v="2012-11-01T00:00:00"/>
    <x v="10"/>
    <x v="1"/>
  </r>
  <r>
    <s v="Brasil"/>
    <s v="Serviços profissionais, administrativos e complementares"/>
    <n v="119.72"/>
    <n v="133.82919000000001"/>
    <d v="2012-12-01T00:00:00"/>
    <x v="11"/>
    <x v="1"/>
  </r>
  <r>
    <s v="Brasil"/>
    <s v="Serviços profissionais, administrativos e complementares"/>
    <n v="117.72"/>
    <n v="111.22247"/>
    <d v="2013-01-01T00:00:00"/>
    <x v="0"/>
    <x v="2"/>
  </r>
  <r>
    <s v="Brasil"/>
    <s v="Serviços profissionais, administrativos e complementares"/>
    <n v="117.76"/>
    <n v="108.65028"/>
    <d v="2013-02-01T00:00:00"/>
    <x v="1"/>
    <x v="2"/>
  </r>
  <r>
    <s v="Brasil"/>
    <s v="Serviços profissionais, administrativos e complementares"/>
    <n v="116.79"/>
    <n v="114.57084999999999"/>
    <d v="2013-03-01T00:00:00"/>
    <x v="2"/>
    <x v="2"/>
  </r>
  <r>
    <s v="Brasil"/>
    <s v="Serviços profissionais, administrativos e complementares"/>
    <n v="118.78"/>
    <n v="118.37548"/>
    <d v="2013-04-01T00:00:00"/>
    <x v="3"/>
    <x v="2"/>
  </r>
  <r>
    <s v="Brasil"/>
    <s v="Serviços profissionais, administrativos e complementares"/>
    <n v="117.44"/>
    <n v="117.39870999999999"/>
    <d v="2013-05-01T00:00:00"/>
    <x v="4"/>
    <x v="2"/>
  </r>
  <r>
    <s v="Brasil"/>
    <s v="Serviços profissionais, administrativos e complementares"/>
    <n v="118.72"/>
    <n v="116.27216"/>
    <d v="2013-06-01T00:00:00"/>
    <x v="5"/>
    <x v="2"/>
  </r>
  <r>
    <s v="Brasil"/>
    <s v="Serviços profissionais, administrativos e complementares"/>
    <n v="118.05"/>
    <n v="119.68007"/>
    <d v="2013-07-01T00:00:00"/>
    <x v="6"/>
    <x v="2"/>
  </r>
  <r>
    <s v="Brasil"/>
    <s v="Serviços profissionais, administrativos e complementares"/>
    <n v="116.93"/>
    <n v="116.39653"/>
    <d v="2013-08-01T00:00:00"/>
    <x v="7"/>
    <x v="2"/>
  </r>
  <r>
    <s v="Brasil"/>
    <s v="Serviços profissionais, administrativos e complementares"/>
    <n v="117.43"/>
    <n v="116.17283"/>
    <d v="2013-09-01T00:00:00"/>
    <x v="8"/>
    <x v="2"/>
  </r>
  <r>
    <s v="Brasil"/>
    <s v="Serviços profissionais, administrativos e complementares"/>
    <n v="116.05"/>
    <n v="119.17744"/>
    <d v="2013-10-01T00:00:00"/>
    <x v="9"/>
    <x v="2"/>
  </r>
  <r>
    <s v="Brasil"/>
    <s v="Serviços profissionais, administrativos e complementares"/>
    <n v="117.98"/>
    <n v="121.63881000000001"/>
    <d v="2013-11-01T00:00:00"/>
    <x v="10"/>
    <x v="2"/>
  </r>
  <r>
    <s v="Brasil"/>
    <s v="Serviços profissionais, administrativos e complementares"/>
    <n v="117.28"/>
    <n v="131.98163"/>
    <d v="2013-12-01T00:00:00"/>
    <x v="11"/>
    <x v="2"/>
  </r>
  <r>
    <s v="Brasil"/>
    <s v="Serviços profissionais, administrativos e complementares"/>
    <n v="118.57"/>
    <n v="112.06854"/>
    <d v="2014-01-01T00:00:00"/>
    <x v="0"/>
    <x v="3"/>
  </r>
  <r>
    <s v="Brasil"/>
    <s v="Serviços profissionais, administrativos e complementares"/>
    <n v="117.57"/>
    <n v="109.95158000000001"/>
    <d v="2014-02-01T00:00:00"/>
    <x v="1"/>
    <x v="3"/>
  </r>
  <r>
    <s v="Brasil"/>
    <s v="Serviços profissionais, administrativos e complementares"/>
    <n v="117.15"/>
    <n v="114.65709"/>
    <d v="2014-03-01T00:00:00"/>
    <x v="2"/>
    <x v="3"/>
  </r>
  <r>
    <s v="Brasil"/>
    <s v="Serviços profissionais, administrativos e complementares"/>
    <n v="116.84"/>
    <n v="114.61832"/>
    <d v="2014-04-01T00:00:00"/>
    <x v="3"/>
    <x v="3"/>
  </r>
  <r>
    <s v="Brasil"/>
    <s v="Serviços profissionais, administrativos e complementares"/>
    <n v="116.81"/>
    <n v="116.8005"/>
    <d v="2014-05-01T00:00:00"/>
    <x v="4"/>
    <x v="3"/>
  </r>
  <r>
    <s v="Brasil"/>
    <s v="Serviços profissionais, administrativos e complementares"/>
    <n v="116.44"/>
    <n v="114.35296"/>
    <d v="2014-06-01T00:00:00"/>
    <x v="5"/>
    <x v="3"/>
  </r>
  <r>
    <s v="Brasil"/>
    <s v="Serviços profissionais, administrativos e complementares"/>
    <n v="117.01"/>
    <n v="118.4748"/>
    <d v="2014-07-01T00:00:00"/>
    <x v="6"/>
    <x v="3"/>
  </r>
  <r>
    <s v="Brasil"/>
    <s v="Serviços profissionais, administrativos e complementares"/>
    <n v="117.48"/>
    <n v="115.87853"/>
    <d v="2014-08-01T00:00:00"/>
    <x v="7"/>
    <x v="3"/>
  </r>
  <r>
    <s v="Brasil"/>
    <s v="Serviços profissionais, administrativos e complementares"/>
    <n v="119.07"/>
    <n v="119.05839"/>
    <d v="2014-09-01T00:00:00"/>
    <x v="8"/>
    <x v="3"/>
  </r>
  <r>
    <s v="Brasil"/>
    <s v="Serviços profissionais, administrativos e complementares"/>
    <n v="118.89"/>
    <n v="122.52574"/>
    <d v="2014-10-01T00:00:00"/>
    <x v="9"/>
    <x v="3"/>
  </r>
  <r>
    <s v="Brasil"/>
    <s v="Serviços profissionais, administrativos e complementares"/>
    <n v="117.59"/>
    <n v="119.96576"/>
    <d v="2014-11-01T00:00:00"/>
    <x v="10"/>
    <x v="3"/>
  </r>
  <r>
    <s v="Brasil"/>
    <s v="Serviços profissionais, administrativos e complementares"/>
    <n v="120.1"/>
    <n v="135.69248999999999"/>
    <d v="2014-12-01T00:00:00"/>
    <x v="11"/>
    <x v="3"/>
  </r>
  <r>
    <s v="Brasil"/>
    <s v="Serviços profissionais, administrativos e complementares"/>
    <n v="116.7"/>
    <n v="109.41358"/>
    <d v="2015-01-01T00:00:00"/>
    <x v="0"/>
    <x v="4"/>
  </r>
  <r>
    <s v="Brasil"/>
    <s v="Serviços profissionais, administrativos e complementares"/>
    <n v="114.75"/>
    <n v="105.45135000000001"/>
    <d v="2015-02-01T00:00:00"/>
    <x v="1"/>
    <x v="4"/>
  </r>
  <r>
    <s v="Brasil"/>
    <s v="Serviços profissionais, administrativos e complementares"/>
    <n v="116.19"/>
    <n v="115.69394"/>
    <d v="2015-03-01T00:00:00"/>
    <x v="2"/>
    <x v="4"/>
  </r>
  <r>
    <s v="Brasil"/>
    <s v="Serviços profissionais, administrativos e complementares"/>
    <n v="115.36"/>
    <n v="113.20108"/>
    <d v="2015-04-01T00:00:00"/>
    <x v="3"/>
    <x v="4"/>
  </r>
  <r>
    <s v="Brasil"/>
    <s v="Serviços profissionais, administrativos e complementares"/>
    <n v="115.18"/>
    <n v="114.00776999999999"/>
    <d v="2015-05-01T00:00:00"/>
    <x v="4"/>
    <x v="4"/>
  </r>
  <r>
    <s v="Brasil"/>
    <s v="Serviços profissionais, administrativos e complementares"/>
    <n v="113.87"/>
    <n v="112.88484"/>
    <d v="2015-06-01T00:00:00"/>
    <x v="5"/>
    <x v="4"/>
  </r>
  <r>
    <s v="Brasil"/>
    <s v="Serviços profissionais, administrativos e complementares"/>
    <n v="112.23"/>
    <n v="113.90226"/>
    <d v="2015-07-01T00:00:00"/>
    <x v="6"/>
    <x v="4"/>
  </r>
  <r>
    <s v="Brasil"/>
    <s v="Serviços profissionais, administrativos e complementares"/>
    <n v="111.49"/>
    <n v="110.02291"/>
    <d v="2015-08-01T00:00:00"/>
    <x v="7"/>
    <x v="4"/>
  </r>
  <r>
    <s v="Brasil"/>
    <s v="Serviços profissionais, administrativos e complementares"/>
    <n v="109.43"/>
    <n v="109.3964"/>
    <d v="2015-09-01T00:00:00"/>
    <x v="8"/>
    <x v="4"/>
  </r>
  <r>
    <s v="Brasil"/>
    <s v="Serviços profissionais, administrativos e complementares"/>
    <n v="110.18"/>
    <n v="113.59157999999999"/>
    <d v="2015-10-01T00:00:00"/>
    <x v="9"/>
    <x v="4"/>
  </r>
  <r>
    <s v="Brasil"/>
    <s v="Serviços profissionais, administrativos e complementares"/>
    <n v="108.73"/>
    <n v="111.98497"/>
    <d v="2015-11-01T00:00:00"/>
    <x v="10"/>
    <x v="4"/>
  </r>
  <r>
    <s v="Brasil"/>
    <s v="Serviços profissionais, administrativos e complementares"/>
    <n v="108.47"/>
    <n v="123.80345"/>
    <d v="2015-12-01T00:00:00"/>
    <x v="11"/>
    <x v="4"/>
  </r>
  <r>
    <s v="Brasil"/>
    <s v="Serviços profissionais, administrativos e complementares"/>
    <n v="108.22"/>
    <n v="99.451949999999997"/>
    <d v="2016-01-01T00:00:00"/>
    <x v="0"/>
    <x v="5"/>
  </r>
  <r>
    <s v="Brasil"/>
    <s v="Serviços profissionais, administrativos e complementares"/>
    <n v="110.51"/>
    <n v="100.94571999999999"/>
    <d v="2016-02-01T00:00:00"/>
    <x v="1"/>
    <x v="5"/>
  </r>
  <r>
    <s v="Brasil"/>
    <s v="Serviços profissionais, administrativos e complementares"/>
    <n v="109.37"/>
    <n v="107.81401"/>
    <d v="2016-03-01T00:00:00"/>
    <x v="2"/>
    <x v="5"/>
  </r>
  <r>
    <s v="Brasil"/>
    <s v="Serviços profissionais, administrativos e complementares"/>
    <n v="108.03"/>
    <n v="107.13748"/>
    <d v="2016-04-01T00:00:00"/>
    <x v="3"/>
    <x v="5"/>
  </r>
  <r>
    <s v="Brasil"/>
    <s v="Serviços profissionais, administrativos e complementares"/>
    <n v="107.27"/>
    <n v="105.16628"/>
    <d v="2016-05-01T00:00:00"/>
    <x v="4"/>
    <x v="5"/>
  </r>
  <r>
    <s v="Brasil"/>
    <s v="Serviços profissionais, administrativos e complementares"/>
    <n v="105.8"/>
    <n v="106.25230999999999"/>
    <d v="2016-06-01T00:00:00"/>
    <x v="5"/>
    <x v="5"/>
  </r>
  <r>
    <s v="Brasil"/>
    <s v="Serviços profissionais, administrativos e complementares"/>
    <n v="108.27"/>
    <n v="108.20851999999999"/>
    <d v="2016-07-01T00:00:00"/>
    <x v="6"/>
    <x v="5"/>
  </r>
  <r>
    <s v="Brasil"/>
    <s v="Serviços profissionais, administrativos e complementares"/>
    <n v="105.69"/>
    <n v="105.91784"/>
    <d v="2016-08-01T00:00:00"/>
    <x v="7"/>
    <x v="5"/>
  </r>
  <r>
    <s v="Brasil"/>
    <s v="Serviços profissionais, administrativos e complementares"/>
    <n v="104.53"/>
    <n v="105.26854"/>
    <d v="2016-09-01T00:00:00"/>
    <x v="8"/>
    <x v="5"/>
  </r>
  <r>
    <s v="Brasil"/>
    <s v="Serviços profissionais, administrativos e complementares"/>
    <n v="104.74"/>
    <n v="107.14033999999999"/>
    <d v="2016-10-01T00:00:00"/>
    <x v="9"/>
    <x v="5"/>
  </r>
  <r>
    <s v="Brasil"/>
    <s v="Serviços profissionais, administrativos e complementares"/>
    <n v="103.85"/>
    <n v="107.97213000000001"/>
    <d v="2016-11-01T00:00:00"/>
    <x v="10"/>
    <x v="5"/>
  </r>
  <r>
    <s v="Brasil"/>
    <s v="Serviços profissionais, administrativos e complementares"/>
    <n v="102.9"/>
    <n v="117.79062"/>
    <d v="2016-12-01T00:00:00"/>
    <x v="11"/>
    <x v="5"/>
  </r>
  <r>
    <s v="Brasil"/>
    <s v="Serviços profissionais, administrativos e complementares"/>
    <n v="101.21"/>
    <n v="92.728250000000003"/>
    <d v="2017-01-01T00:00:00"/>
    <x v="0"/>
    <x v="6"/>
  </r>
  <r>
    <s v="Brasil"/>
    <s v="Serviços profissionais, administrativos e complementares"/>
    <n v="99.09"/>
    <n v="89.651009999999999"/>
    <d v="2017-02-01T00:00:00"/>
    <x v="1"/>
    <x v="6"/>
  </r>
  <r>
    <s v="Brasil"/>
    <s v="Serviços profissionais, administrativos e complementares"/>
    <n v="97.06"/>
    <n v="96.987849999999995"/>
    <d v="2017-03-01T00:00:00"/>
    <x v="2"/>
    <x v="6"/>
  </r>
  <r>
    <s v="Brasil"/>
    <s v="Serviços profissionais, administrativos e complementares"/>
    <n v="98.55"/>
    <n v="94.890289999999993"/>
    <d v="2017-04-01T00:00:00"/>
    <x v="3"/>
    <x v="6"/>
  </r>
  <r>
    <s v="Brasil"/>
    <s v="Serviços profissionais, administrativos e complementares"/>
    <n v="98.99"/>
    <n v="99.574860000000001"/>
    <d v="2017-05-01T00:00:00"/>
    <x v="4"/>
    <x v="6"/>
  </r>
  <r>
    <s v="Brasil"/>
    <s v="Serviços profissionais, administrativos e complementares"/>
    <n v="100.03"/>
    <n v="99.254890000000003"/>
    <d v="2017-06-01T00:00:00"/>
    <x v="5"/>
    <x v="6"/>
  </r>
  <r>
    <s v="Brasil"/>
    <s v="Serviços profissionais, administrativos e complementares"/>
    <n v="100.04"/>
    <n v="99.807860000000005"/>
    <d v="2017-07-01T00:00:00"/>
    <x v="6"/>
    <x v="6"/>
  </r>
  <r>
    <s v="Brasil"/>
    <s v="Serviços profissionais, administrativos e complementares"/>
    <n v="98.85"/>
    <n v="99.005369999999999"/>
    <d v="2017-08-01T00:00:00"/>
    <x v="7"/>
    <x v="6"/>
  </r>
  <r>
    <s v="Brasil"/>
    <s v="Serviços profissionais, administrativos e complementares"/>
    <n v="98.2"/>
    <n v="98.606629999999996"/>
    <d v="2017-09-01T00:00:00"/>
    <x v="8"/>
    <x v="6"/>
  </r>
  <r>
    <s v="Brasil"/>
    <s v="Serviços profissionais, administrativos e complementares"/>
    <n v="97.32"/>
    <n v="100.30302"/>
    <d v="2017-10-01T00:00:00"/>
    <x v="9"/>
    <x v="6"/>
  </r>
  <r>
    <s v="Brasil"/>
    <s v="Serviços profissionais, administrativos e complementares"/>
    <n v="97.19"/>
    <n v="101.58642"/>
    <d v="2017-11-01T00:00:00"/>
    <x v="10"/>
    <x v="6"/>
  </r>
  <r>
    <s v="Brasil"/>
    <s v="Serviços profissionais, administrativos e complementares"/>
    <n v="100.12"/>
    <n v="113.66382"/>
    <d v="2017-12-01T00:00:00"/>
    <x v="11"/>
    <x v="6"/>
  </r>
  <r>
    <s v="Brasil"/>
    <s v="Serviços profissionais, administrativos e complementares"/>
    <n v="97.09"/>
    <n v="89.473140000000001"/>
    <d v="2018-01-01T00:00:00"/>
    <x v="0"/>
    <x v="7"/>
  </r>
  <r>
    <s v="Brasil"/>
    <s v="Serviços profissionais, administrativos e complementares"/>
    <n v="97.69"/>
    <n v="88.271450000000002"/>
    <d v="2018-02-01T00:00:00"/>
    <x v="1"/>
    <x v="7"/>
  </r>
  <r>
    <s v="Brasil"/>
    <s v="Serviços profissionais, administrativos e complementares"/>
    <n v="96.81"/>
    <n v="94.392120000000006"/>
    <d v="2018-03-01T00:00:00"/>
    <x v="2"/>
    <x v="7"/>
  </r>
  <r>
    <s v="Brasil"/>
    <s v="Serviços profissionais, administrativos e complementares"/>
    <n v="97.89"/>
    <n v="96.610020000000006"/>
    <d v="2018-04-01T00:00:00"/>
    <x v="3"/>
    <x v="7"/>
  </r>
  <r>
    <s v="Brasil"/>
    <s v="Serviços profissionais, administrativos e complementares"/>
    <n v="96.15"/>
    <n v="96.559610000000006"/>
    <d v="2018-05-01T00:00:00"/>
    <x v="4"/>
    <x v="7"/>
  </r>
  <r>
    <s v="Brasil"/>
    <s v="Serviços profissionais, administrativos e complementares"/>
    <n v="96.94"/>
    <n v="95.747839999999997"/>
    <d v="2018-06-01T00:00:00"/>
    <x v="5"/>
    <x v="7"/>
  </r>
  <r>
    <s v="Brasil"/>
    <s v="Serviços profissionais, administrativos e complementares"/>
    <n v="96.74"/>
    <n v="97.029079999999993"/>
    <d v="2018-07-01T00:00:00"/>
    <x v="6"/>
    <x v="7"/>
  </r>
  <r>
    <s v="Brasil"/>
    <s v="Serviços profissionais, administrativos e complementares"/>
    <n v="99.07"/>
    <n v="99.529380000000003"/>
    <d v="2018-08-01T00:00:00"/>
    <x v="7"/>
    <x v="7"/>
  </r>
  <r>
    <s v="Brasil"/>
    <s v="Serviços profissionais, administrativos e complementares"/>
    <n v="97.2"/>
    <n v="96.541669999999996"/>
    <d v="2018-09-01T00:00:00"/>
    <x v="8"/>
    <x v="7"/>
  </r>
  <r>
    <s v="Brasil"/>
    <s v="Serviços profissionais, administrativos e complementares"/>
    <n v="96.55"/>
    <n v="100.1279"/>
    <d v="2018-10-01T00:00:00"/>
    <x v="9"/>
    <x v="7"/>
  </r>
  <r>
    <s v="Brasil"/>
    <s v="Serviços profissionais, administrativos e complementares"/>
    <n v="95.63"/>
    <n v="100.5778"/>
    <d v="2018-11-01T00:00:00"/>
    <x v="10"/>
    <x v="7"/>
  </r>
  <r>
    <s v="Brasil"/>
    <s v="Serviços profissionais, administrativos e complementares"/>
    <n v="96.11"/>
    <n v="109.46733"/>
    <d v="2018-12-01T00:00:00"/>
    <x v="11"/>
    <x v="7"/>
  </r>
  <r>
    <s v="Brasil"/>
    <s v="Serviços profissionais, administrativos e complementares"/>
    <n v="96.62"/>
    <n v="88.915850000000006"/>
    <d v="2019-01-01T00:00:00"/>
    <x v="0"/>
    <x v="8"/>
  </r>
  <r>
    <s v="Brasil"/>
    <s v="Serviços profissionais, administrativos e complementares"/>
    <n v="96.65"/>
    <n v="89.575280000000006"/>
    <d v="2019-02-01T00:00:00"/>
    <x v="1"/>
    <x v="8"/>
  </r>
  <r>
    <s v="Brasil"/>
    <s v="Serviços profissionais, administrativos e complementares"/>
    <n v="96.18"/>
    <n v="91.833789999999993"/>
    <d v="2019-03-01T00:00:00"/>
    <x v="2"/>
    <x v="8"/>
  </r>
  <r>
    <s v="Brasil"/>
    <s v="Serviços profissionais, administrativos e complementares"/>
    <n v="97.63"/>
    <n v="95.887510000000006"/>
    <d v="2019-04-01T00:00:00"/>
    <x v="3"/>
    <x v="8"/>
  </r>
  <r>
    <s v="Brasil"/>
    <s v="Serviços profissionais, administrativos e complementares"/>
    <n v="97.54"/>
    <n v="98.104470000000006"/>
    <d v="2019-05-01T00:00:00"/>
    <x v="4"/>
    <x v="8"/>
  </r>
  <r>
    <s v="Brasil"/>
    <s v="Serviços profissionais, administrativos e complementares"/>
    <n v="97.11"/>
    <n v="94.823620000000005"/>
    <d v="2019-06-01T00:00:00"/>
    <x v="5"/>
    <x v="8"/>
  </r>
  <r>
    <s v="Brasil"/>
    <s v="Serviços profissionais, administrativos e complementares"/>
    <n v="96.86"/>
    <n v="97.924449999999993"/>
    <d v="2019-07-01T00:00:00"/>
    <x v="6"/>
    <x v="8"/>
  </r>
  <r>
    <s v="Brasil"/>
    <s v="Serviços profissionais, administrativos e complementares"/>
    <n v="97.03"/>
    <n v="97.065880000000007"/>
    <d v="2019-08-01T00:00:00"/>
    <x v="7"/>
    <x v="8"/>
  </r>
  <r>
    <s v="Brasil"/>
    <s v="Serviços profissionais, administrativos e complementares"/>
    <n v="99.25"/>
    <n v="99.649569999999997"/>
    <d v="2019-09-01T00:00:00"/>
    <x v="8"/>
    <x v="8"/>
  </r>
  <r>
    <s v="Brasil"/>
    <s v="Serviços profissionais, administrativos e complementares"/>
    <n v="99.86"/>
    <n v="102.77817"/>
    <d v="2019-10-01T00:00:00"/>
    <x v="9"/>
    <x v="8"/>
  </r>
  <r>
    <s v="Brasil"/>
    <s v="Serviços profissionais, administrativos e complementares"/>
    <n v="99.36"/>
    <n v="103.6752"/>
    <d v="2019-11-01T00:00:00"/>
    <x v="10"/>
    <x v="8"/>
  </r>
  <r>
    <s v="Brasil"/>
    <s v="Serviços profissionais, administrativos e complementares"/>
    <n v="97.36"/>
    <n v="111.25587"/>
    <d v="2019-12-01T00:00:00"/>
    <x v="11"/>
    <x v="8"/>
  </r>
  <r>
    <s v="Brasil"/>
    <s v="Serviços profissionais, administrativos e complementares"/>
    <n v="96.11"/>
    <n v="88.921850000000006"/>
    <d v="2020-01-01T00:00:00"/>
    <x v="0"/>
    <x v="9"/>
  </r>
  <r>
    <s v="Brasil"/>
    <s v="Serviços profissionais, administrativos e complementares"/>
    <n v="96.55"/>
    <n v="86.562269999999998"/>
    <d v="2020-02-01T00:00:00"/>
    <x v="1"/>
    <x v="9"/>
  </r>
  <r>
    <s v="Brasil"/>
    <s v="Serviços profissionais, administrativos e complementares"/>
    <n v="90.02"/>
    <n v="88.442239999999998"/>
    <d v="2020-03-01T00:00:00"/>
    <x v="2"/>
    <x v="9"/>
  </r>
  <r>
    <s v="Brasil"/>
    <s v="Serviços profissionais, administrativos e complementares"/>
    <n v="81.22"/>
    <n v="79.091059999999999"/>
    <d v="2020-04-01T00:00:00"/>
    <x v="3"/>
    <x v="9"/>
  </r>
  <r>
    <s v="Brasil"/>
    <s v="Serviços profissionais, administrativos e complementares"/>
    <n v="78.48"/>
    <n v="77.176450000000003"/>
    <d v="2020-05-01T00:00:00"/>
    <x v="4"/>
    <x v="9"/>
  </r>
  <r>
    <s v="Brasil"/>
    <s v="Serviços profissionais, administrativos e complementares"/>
    <n v="79.83"/>
    <n v="79.779499999999999"/>
    <d v="2020-06-01T00:00:00"/>
    <x v="5"/>
    <x v="9"/>
  </r>
  <r>
    <s v="Brasil"/>
    <s v="Serviços profissionais, administrativos e complementares"/>
    <n v="82.64"/>
    <n v="83.512129999999999"/>
    <d v="2020-07-01T00:00:00"/>
    <x v="6"/>
    <x v="9"/>
  </r>
  <r>
    <s v="Brasil"/>
    <s v="Serviços profissionais, administrativos e complementares"/>
    <n v="84.38"/>
    <n v="83.332070000000002"/>
    <d v="2020-08-01T00:00:00"/>
    <x v="7"/>
    <x v="9"/>
  </r>
  <r>
    <s v="Brasil"/>
    <s v="Serviços profissionais, administrativos e complementares"/>
    <n v="85.14"/>
    <n v="86.372349999999997"/>
    <d v="2020-09-01T00:00:00"/>
    <x v="8"/>
    <x v="9"/>
  </r>
  <r>
    <s v="Brasil"/>
    <s v="Serviços profissionais, administrativos e complementares"/>
    <n v="86.77"/>
    <n v="88.993309999999994"/>
    <d v="2020-10-01T00:00:00"/>
    <x v="9"/>
    <x v="9"/>
  </r>
  <r>
    <s v="Brasil"/>
    <s v="Serviços profissionais, administrativos e complementares"/>
    <n v="89.02"/>
    <n v="92.885829999999999"/>
    <d v="2020-11-01T00:00:00"/>
    <x v="10"/>
    <x v="9"/>
  </r>
  <r>
    <s v="Brasil"/>
    <s v="Serviços profissionais, administrativos e complementares"/>
    <n v="88.11"/>
    <n v="102.75664999999999"/>
    <d v="2020-12-01T00:00:00"/>
    <x v="11"/>
    <x v="9"/>
  </r>
  <r>
    <s v="Brasil"/>
    <s v="Serviços profissionais, administrativos e complementares"/>
    <n v="90.58"/>
    <n v="82.024799999999999"/>
    <d v="2021-01-01T00:00:00"/>
    <x v="0"/>
    <x v="10"/>
  </r>
  <r>
    <s v="Brasil"/>
    <s v="Serviços profissionais, administrativos e complementares"/>
    <n v="93.44"/>
    <n v="84.597859999999997"/>
    <d v="2021-02-01T00:00:00"/>
    <x v="1"/>
    <x v="10"/>
  </r>
  <r>
    <s v="Brasil"/>
    <s v="Serviços profissionais, administrativos e complementares"/>
    <n v="89.51"/>
    <n v="89.329660000000004"/>
    <d v="2021-03-01T00:00:00"/>
    <x v="2"/>
    <x v="10"/>
  </r>
  <r>
    <s v="Brasil"/>
    <s v="Serviços profissionais, administrativos e complementares"/>
    <n v="90.66"/>
    <n v="88.721800000000002"/>
    <d v="2021-04-01T00:00:00"/>
    <x v="3"/>
    <x v="10"/>
  </r>
  <r>
    <s v="Brasil"/>
    <s v="Serviços profissionais, administrativos e complementares"/>
    <n v="91.53"/>
    <n v="89.778210000000001"/>
    <d v="2021-05-01T00:00:00"/>
    <x v="4"/>
    <x v="10"/>
  </r>
  <r>
    <s v="Brasil"/>
    <s v="Serviços profissionais, administrativos e complementares"/>
    <n v="93.22"/>
    <n v="93.047160000000005"/>
    <d v="2021-06-01T00:00:00"/>
    <x v="5"/>
    <x v="10"/>
  </r>
  <r>
    <s v="Brasil"/>
    <s v="Serviços profissionais, administrativos e complementares"/>
    <n v="95.42"/>
    <n v="95.552940000000007"/>
    <d v="2021-07-01T00:00:00"/>
    <x v="6"/>
    <x v="10"/>
  </r>
  <r>
    <s v="Brasil"/>
    <s v="Serviços profissionais, administrativos e complementares"/>
    <n v="94.36"/>
    <n v="93.984380000000002"/>
    <d v="2021-08-01T00:00:00"/>
    <x v="7"/>
    <x v="10"/>
  </r>
  <r>
    <s v="Brasil"/>
    <s v="Serviços profissionais, administrativos e complementares"/>
    <n v="93.74"/>
    <n v="95.05198"/>
    <d v="2021-09-01T00:00:00"/>
    <x v="8"/>
    <x v="10"/>
  </r>
  <r>
    <s v="Brasil"/>
    <s v="Serviços profissionais, administrativos e complementares"/>
    <n v="92.39"/>
    <n v="93.174160000000001"/>
    <d v="2021-10-01T00:00:00"/>
    <x v="9"/>
    <x v="10"/>
  </r>
  <r>
    <s v="Brasil"/>
    <s v="Serviços profissionais, administrativos e complementares"/>
    <n v="92.58"/>
    <n v="97.631489999999999"/>
    <d v="2021-11-01T00:00:00"/>
    <x v="10"/>
    <x v="10"/>
  </r>
  <r>
    <s v="Brasil"/>
    <s v="Serviços profissionais, administrativos e complementares"/>
    <n v="96.55"/>
    <n v="111.46156999999999"/>
    <d v="2021-12-01T00:00:00"/>
    <x v="11"/>
    <x v="10"/>
  </r>
  <r>
    <s v="Brasil"/>
    <s v="Serviços profissionais, administrativos e complementares"/>
    <n v="96.49"/>
    <n v="88.169079999999994"/>
    <d v="2022-01-01T00:00:00"/>
    <x v="0"/>
    <x v="11"/>
  </r>
  <r>
    <s v="Brasil"/>
    <s v="Serviços profissionais, administrativos e complementares"/>
    <n v="99.57"/>
    <n v="90.715800000000002"/>
    <d v="2022-02-01T00:00:00"/>
    <x v="1"/>
    <x v="11"/>
  </r>
  <r>
    <s v="Brasil"/>
    <s v="Serviços profissionais, administrativos e complementares"/>
    <n v="97.81"/>
    <n v="98.004180000000005"/>
    <d v="2022-03-01T00:00:00"/>
    <x v="2"/>
    <x v="11"/>
  </r>
  <r>
    <s v="Brasil"/>
    <s v="Serviços profissionais, administrativos e complementares"/>
    <n v="98.51"/>
    <n v="95.672920000000005"/>
    <d v="2022-04-01T00:00:00"/>
    <x v="3"/>
    <x v="11"/>
  </r>
  <r>
    <s v="Brasil"/>
    <s v="Serviços profissionais, administrativos e complementares"/>
    <n v="100.18"/>
    <n v="98.460539999999995"/>
    <d v="2022-05-01T00:00:00"/>
    <x v="4"/>
    <x v="11"/>
  </r>
  <r>
    <s v="Brasil"/>
    <s v="Serviços profissionais, administrativos e complementares"/>
    <n v="100.67"/>
    <n v="100.77307"/>
    <d v="2022-06-01T00:00:00"/>
    <x v="5"/>
    <x v="11"/>
  </r>
  <r>
    <s v="Brasil"/>
    <s v="Serviços profissionais, administrativos e complementares"/>
    <n v="100.66"/>
    <n v="99.493099999999998"/>
    <d v="2022-07-01T00:00:00"/>
    <x v="6"/>
    <x v="11"/>
  </r>
  <r>
    <s v="Brasil"/>
    <s v="Serviços profissionais, administrativos e complementares"/>
    <n v="100.51"/>
    <n v="101.14089"/>
    <d v="2022-08-01T00:00:00"/>
    <x v="7"/>
    <x v="11"/>
  </r>
  <r>
    <s v="Brasil"/>
    <s v="Serviços profissionais, administrativos e complementares"/>
    <n v="100.66"/>
    <n v="102.38397999999999"/>
    <d v="2022-09-01T00:00:00"/>
    <x v="8"/>
    <x v="11"/>
  </r>
  <r>
    <s v="Brasil"/>
    <s v="Serviços profissionais, administrativos e complementares"/>
    <n v="100.22"/>
    <n v="100.87145"/>
    <d v="2022-10-01T00:00:00"/>
    <x v="9"/>
    <x v="11"/>
  </r>
  <r>
    <s v="Brasil"/>
    <s v="Serviços profissionais, administrativos e complementares"/>
    <n v="99.81"/>
    <n v="104.55056999999999"/>
    <d v="2022-11-01T00:00:00"/>
    <x v="10"/>
    <x v="11"/>
  </r>
  <r>
    <s v="Brasil"/>
    <s v="Serviços profissionais, administrativos e complementares"/>
    <n v="105.21"/>
    <n v="119.76442"/>
    <d v="2022-12-01T00:00:00"/>
    <x v="11"/>
    <x v="11"/>
  </r>
  <r>
    <s v="Brasil"/>
    <s v="Serviços profissionais, administrativos e complementares"/>
    <n v="102.13"/>
    <n v="94.490129999999994"/>
    <d v="2023-01-01T00:00:00"/>
    <x v="0"/>
    <x v="12"/>
  </r>
  <r>
    <s v="Brasil"/>
    <s v="Serviços profissionais, administrativos e complementares"/>
    <n v="101.63"/>
    <n v="92.744389999999996"/>
    <d v="2023-02-01T00:00:00"/>
    <x v="1"/>
    <x v="12"/>
  </r>
  <r>
    <s v="Brasil"/>
    <s v="Serviços profissionais, administrativos e complementares"/>
    <n v="103.27"/>
    <n v="104.24687"/>
    <d v="2023-03-01T00:00:00"/>
    <x v="2"/>
    <x v="12"/>
  </r>
  <r>
    <s v="Brasil"/>
    <s v="Serviços profissionais, administrativos e complementares"/>
    <n v="104.57"/>
    <n v="100.16611"/>
    <d v="2023-04-01T00:00:00"/>
    <x v="3"/>
    <x v="12"/>
  </r>
  <r>
    <s v="Brasil"/>
    <s v="Serviços profissionais, administrativos e complementares"/>
    <n v="103.73"/>
    <n v="102.4298"/>
    <d v="2023-05-01T00:00:00"/>
    <x v="4"/>
    <x v="12"/>
  </r>
  <r>
    <s v="Brasil"/>
    <s v="Serviços profissionais, administrativos e complementares"/>
    <n v="104.27"/>
    <n v="104.86484"/>
    <d v="2023-06-01T00:00:00"/>
    <x v="5"/>
    <x v="12"/>
  </r>
  <r>
    <s v="Brasil"/>
    <s v="Serviços profissionais, administrativos e complementares"/>
    <n v="104.42"/>
    <n v="103.09705"/>
    <d v="2023-07-01T00:00:00"/>
    <x v="6"/>
    <x v="12"/>
  </r>
  <r>
    <s v="Brasil"/>
    <s v="Serviços profissionais, administrativos e complementares"/>
    <n v="109.86"/>
    <n v="110.32728"/>
    <d v="2023-08-01T00:00:00"/>
    <x v="7"/>
    <x v="12"/>
  </r>
  <r>
    <s v="Brasil"/>
    <s v="Serviços profissionais, administrativos e complementares"/>
    <n v="107.36"/>
    <n v="108.5403"/>
    <d v="2023-09-01T00:00:00"/>
    <x v="8"/>
    <x v="12"/>
  </r>
  <r>
    <s v="Brasil"/>
    <s v="Serviços profissionais, administrativos e complementares"/>
    <n v="109.13"/>
    <n v="110.49596"/>
    <d v="2023-10-01T00:00:00"/>
    <x v="9"/>
    <x v="12"/>
  </r>
  <r>
    <s v="Brasil"/>
    <s v="Serviços profissionais, administrativos e complementares"/>
    <n v="111.04"/>
    <n v="115.82265"/>
    <d v="2023-11-01T00:00:00"/>
    <x v="10"/>
    <x v="12"/>
  </r>
  <r>
    <s v="Brasil"/>
    <s v="Serviços profissionais, administrativos e complementares"/>
    <n v="110.15"/>
    <n v="123.68034"/>
    <d v="2023-12-01T00:00:00"/>
    <x v="11"/>
    <x v="12"/>
  </r>
  <r>
    <s v="Brasil"/>
    <s v="Serviços profissionais, administrativos e complementares"/>
    <n v="112.09"/>
    <n v="105.36678000000001"/>
    <d v="2024-01-01T00:00:00"/>
    <x v="0"/>
    <x v="13"/>
  </r>
  <r>
    <s v="Brasil"/>
    <s v="Serviços profissionais, administrativos e complementares"/>
    <n v="111.23"/>
    <n v="101.91647"/>
    <d v="2024-02-01T00:00:00"/>
    <x v="1"/>
    <x v="13"/>
  </r>
  <r>
    <s v="Brasil"/>
    <s v="Serviços profissionais, administrativos e complementares"/>
    <n v="113.16"/>
    <n v="111.41083999999999"/>
    <d v="2024-03-01T00:00:00"/>
    <x v="2"/>
    <x v="13"/>
  </r>
  <r>
    <s v="Brasil"/>
    <s v="Serviços profissionais, administrativos e complementares"/>
    <n v="111.31"/>
    <n v="110.2757"/>
    <d v="2024-04-01T00:00:00"/>
    <x v="3"/>
    <x v="13"/>
  </r>
  <r>
    <s v="Brasil"/>
    <s v="Serviços profissionais, administrativos e complementares"/>
    <n v="110.96"/>
    <n v="108.75252999999999"/>
    <d v="2024-05-01T00:00:00"/>
    <x v="4"/>
    <x v="13"/>
  </r>
  <r>
    <s v="Brasil"/>
    <s v="Serviços profissionais, administrativos e complementares"/>
    <n v="113.02"/>
    <n v="112.16127"/>
    <d v="2024-06-01T00:00:00"/>
    <x v="5"/>
    <x v="13"/>
  </r>
  <r>
    <s v="Brasil"/>
    <s v="Serviços profissionais, administrativos e complementares"/>
    <n v="112.76"/>
    <n v="112.86597"/>
    <d v="2024-07-01T00:00:00"/>
    <x v="6"/>
    <x v="13"/>
  </r>
  <r>
    <s v="Brasil"/>
    <s v="Serviços profissionais, administrativos e complementares"/>
    <n v="112.37"/>
    <n v="112.53843000000001"/>
    <d v="2024-08-01T00:00:00"/>
    <x v="7"/>
    <x v="13"/>
  </r>
  <r>
    <s v="Brasil"/>
    <s v="Serviços profissionais, administrativos e complementares"/>
    <n v="114.24"/>
    <n v="115.05534"/>
    <d v="2024-09-01T00:00:00"/>
    <x v="8"/>
    <x v="13"/>
  </r>
  <r>
    <s v="Brasil"/>
    <s v="Serviços profissionais, administrativos e complementares"/>
    <n v="116.76"/>
    <n v="119.15456"/>
    <d v="2024-10-01T00:00:00"/>
    <x v="9"/>
    <x v="13"/>
  </r>
  <r>
    <s v="Brasil"/>
    <s v="Serviços profissionais, administrativos e complementares"/>
    <n v="113.76"/>
    <n v="118.34658"/>
    <d v="2024-11-01T00:00:00"/>
    <x v="10"/>
    <x v="13"/>
  </r>
  <r>
    <s v="Brasil"/>
    <s v="Serviços profissionais, administrativos e complementares"/>
    <n v="113.53"/>
    <n v="127.72011999999999"/>
    <d v="2024-12-01T00:00:00"/>
    <x v="11"/>
    <x v="13"/>
  </r>
  <r>
    <s v="Brasil"/>
    <s v="Serviços profissionais, administrativos e complementares"/>
    <n v="112.45"/>
    <n v="105.65398999999999"/>
    <d v="2025-01-01T00:00:00"/>
    <x v="0"/>
    <x v="14"/>
  </r>
  <r>
    <s v="Brasil"/>
    <s v="Serviços profissionais, administrativos e complementares"/>
    <n v="113.91"/>
    <n v="106.38495"/>
    <d v="2025-02-01T00:00:00"/>
    <x v="1"/>
    <x v="14"/>
  </r>
  <r>
    <s v="Brasil"/>
    <s v="Serviços profissionais, administrativos e complementares"/>
    <n v="114.63"/>
    <n v="113.09702"/>
    <d v="2025-03-01T00:00:00"/>
    <x v="2"/>
    <x v="14"/>
  </r>
  <r>
    <s v="Brasil"/>
    <s v="Serviços profissionais, administrativos e complementares"/>
    <n v="114.67"/>
    <n v="111.7037"/>
    <d v="2025-04-01T00:00:00"/>
    <x v="3"/>
    <x v="14"/>
  </r>
  <r>
    <s v="Brasil"/>
    <s v="Serviços profissionais, administrativos e complementares"/>
    <n v="115.51"/>
    <n v="113.10706999999999"/>
    <d v="2025-05-01T00:00:00"/>
    <x v="4"/>
    <x v="14"/>
  </r>
  <r>
    <s v="Brasil"/>
    <s v="Serviços profissionais, administrativos e complementares"/>
    <n v="115.79"/>
    <n v="115.18595000000001"/>
    <d v="2025-06-01T00:00:00"/>
    <x v="5"/>
    <x v="14"/>
  </r>
  <r>
    <s v="Brasil"/>
    <s v="Serviços profissionais, administrativos e complementares"/>
    <n v="116.44"/>
    <n v="116.28352"/>
    <d v="2025-07-01T00:00:00"/>
    <x v="6"/>
    <x v="14"/>
  </r>
  <r>
    <s v="Brasil"/>
    <s v="Serviços profissionais, administrativos e complementares"/>
    <n v="116.8"/>
    <n v="115.78234999999999"/>
    <d v="2025-08-01T00:00:00"/>
    <x v="7"/>
    <x v="14"/>
  </r>
  <r>
    <s v="Brasil"/>
    <s v="Transportes, serviços auxiliares aos transportes e correio"/>
    <n v="82.9"/>
    <n v="76.495739999999998"/>
    <d v="2011-01-01T00:00:00"/>
    <x v="0"/>
    <x v="0"/>
  </r>
  <r>
    <s v="Brasil"/>
    <s v="Transportes, serviços auxiliares aos transportes e correio"/>
    <n v="82.96"/>
    <n v="76.765309999999999"/>
    <d v="2011-02-01T00:00:00"/>
    <x v="1"/>
    <x v="0"/>
  </r>
  <r>
    <s v="Brasil"/>
    <s v="Transportes, serviços auxiliares aos transportes e correio"/>
    <n v="81.97"/>
    <n v="79.700069999999997"/>
    <d v="2011-03-01T00:00:00"/>
    <x v="2"/>
    <x v="0"/>
  </r>
  <r>
    <s v="Brasil"/>
    <s v="Transportes, serviços auxiliares aos transportes e correio"/>
    <n v="81.22"/>
    <n v="79.382210000000001"/>
    <d v="2011-04-01T00:00:00"/>
    <x v="3"/>
    <x v="0"/>
  </r>
  <r>
    <s v="Brasil"/>
    <s v="Transportes, serviços auxiliares aos transportes e correio"/>
    <n v="83.32"/>
    <n v="84.538809999999998"/>
    <d v="2011-05-01T00:00:00"/>
    <x v="4"/>
    <x v="0"/>
  </r>
  <r>
    <s v="Brasil"/>
    <s v="Transportes, serviços auxiliares aos transportes e correio"/>
    <n v="82.54"/>
    <n v="81.986940000000004"/>
    <d v="2011-06-01T00:00:00"/>
    <x v="5"/>
    <x v="0"/>
  </r>
  <r>
    <s v="Brasil"/>
    <s v="Transportes, serviços auxiliares aos transportes e correio"/>
    <n v="83.32"/>
    <n v="85.282560000000004"/>
    <d v="2011-07-01T00:00:00"/>
    <x v="6"/>
    <x v="0"/>
  </r>
  <r>
    <s v="Brasil"/>
    <s v="Transportes, serviços auxiliares aos transportes e correio"/>
    <n v="82.51"/>
    <n v="87.907139999999998"/>
    <d v="2011-08-01T00:00:00"/>
    <x v="7"/>
    <x v="0"/>
  </r>
  <r>
    <s v="Brasil"/>
    <s v="Transportes, serviços auxiliares aos transportes e correio"/>
    <n v="81.52"/>
    <n v="83.751540000000006"/>
    <d v="2011-09-01T00:00:00"/>
    <x v="8"/>
    <x v="0"/>
  </r>
  <r>
    <s v="Brasil"/>
    <s v="Transportes, serviços auxiliares aos transportes e correio"/>
    <n v="81.2"/>
    <n v="84.021069999999995"/>
    <d v="2011-10-01T00:00:00"/>
    <x v="9"/>
    <x v="0"/>
  </r>
  <r>
    <s v="Brasil"/>
    <s v="Transportes, serviços auxiliares aos transportes e correio"/>
    <n v="82.09"/>
    <n v="82.993769999999998"/>
    <d v="2011-11-01T00:00:00"/>
    <x v="10"/>
    <x v="0"/>
  </r>
  <r>
    <s v="Brasil"/>
    <s v="Transportes, serviços auxiliares aos transportes e correio"/>
    <n v="85.89"/>
    <n v="87.498919999999998"/>
    <d v="2011-12-01T00:00:00"/>
    <x v="11"/>
    <x v="0"/>
  </r>
  <r>
    <s v="Brasil"/>
    <s v="Transportes, serviços auxiliares aos transportes e correio"/>
    <n v="82.73"/>
    <n v="76.904570000000007"/>
    <d v="2012-01-01T00:00:00"/>
    <x v="0"/>
    <x v="1"/>
  </r>
  <r>
    <s v="Brasil"/>
    <s v="Transportes, serviços auxiliares aos transportes e correio"/>
    <n v="83.25"/>
    <n v="75.875969999999995"/>
    <d v="2012-02-01T00:00:00"/>
    <x v="1"/>
    <x v="1"/>
  </r>
  <r>
    <s v="Brasil"/>
    <s v="Transportes, serviços auxiliares aos transportes e correio"/>
    <n v="83.87"/>
    <n v="85.484120000000004"/>
    <d v="2012-03-01T00:00:00"/>
    <x v="2"/>
    <x v="1"/>
  </r>
  <r>
    <s v="Brasil"/>
    <s v="Transportes, serviços auxiliares aos transportes e correio"/>
    <n v="85.04"/>
    <n v="82.074650000000005"/>
    <d v="2012-04-01T00:00:00"/>
    <x v="3"/>
    <x v="1"/>
  </r>
  <r>
    <s v="Brasil"/>
    <s v="Transportes, serviços auxiliares aos transportes e correio"/>
    <n v="84.66"/>
    <n v="87.368219999999994"/>
    <d v="2012-05-01T00:00:00"/>
    <x v="4"/>
    <x v="1"/>
  </r>
  <r>
    <s v="Brasil"/>
    <s v="Transportes, serviços auxiliares aos transportes e correio"/>
    <n v="85.96"/>
    <n v="84.961740000000006"/>
    <d v="2012-06-01T00:00:00"/>
    <x v="5"/>
    <x v="1"/>
  </r>
  <r>
    <s v="Brasil"/>
    <s v="Transportes, serviços auxiliares aos transportes e correio"/>
    <n v="85.15"/>
    <n v="87.509479999999996"/>
    <d v="2012-07-01T00:00:00"/>
    <x v="6"/>
    <x v="1"/>
  </r>
  <r>
    <s v="Brasil"/>
    <s v="Transportes, serviços auxiliares aos transportes e correio"/>
    <n v="88.09"/>
    <n v="93.848510000000005"/>
    <d v="2012-08-01T00:00:00"/>
    <x v="7"/>
    <x v="1"/>
  </r>
  <r>
    <s v="Brasil"/>
    <s v="Transportes, serviços auxiliares aos transportes e correio"/>
    <n v="88.1"/>
    <n v="88.740690000000001"/>
    <d v="2012-09-01T00:00:00"/>
    <x v="8"/>
    <x v="1"/>
  </r>
  <r>
    <s v="Brasil"/>
    <s v="Transportes, serviços auxiliares aos transportes e correio"/>
    <n v="89.74"/>
    <n v="95.002489999999995"/>
    <d v="2012-10-01T00:00:00"/>
    <x v="9"/>
    <x v="1"/>
  </r>
  <r>
    <s v="Brasil"/>
    <s v="Transportes, serviços auxiliares aos transportes e correio"/>
    <n v="88.95"/>
    <n v="89.687989999999999"/>
    <d v="2012-11-01T00:00:00"/>
    <x v="10"/>
    <x v="1"/>
  </r>
  <r>
    <s v="Brasil"/>
    <s v="Transportes, serviços auxiliares aos transportes e correio"/>
    <n v="89.54"/>
    <n v="89.770750000000007"/>
    <d v="2012-12-01T00:00:00"/>
    <x v="11"/>
    <x v="1"/>
  </r>
  <r>
    <s v="Brasil"/>
    <s v="Transportes, serviços auxiliares aos transportes e correio"/>
    <n v="89.36"/>
    <n v="84.45626"/>
    <d v="2013-01-01T00:00:00"/>
    <x v="0"/>
    <x v="2"/>
  </r>
  <r>
    <s v="Brasil"/>
    <s v="Transportes, serviços auxiliares aos transportes e correio"/>
    <n v="90.02"/>
    <n v="78.855180000000004"/>
    <d v="2013-02-01T00:00:00"/>
    <x v="1"/>
    <x v="2"/>
  </r>
  <r>
    <s v="Brasil"/>
    <s v="Transportes, serviços auxiliares aos transportes e correio"/>
    <n v="90.81"/>
    <n v="89.692250000000001"/>
    <d v="2013-03-01T00:00:00"/>
    <x v="2"/>
    <x v="2"/>
  </r>
  <r>
    <s v="Brasil"/>
    <s v="Transportes, serviços auxiliares aos transportes e correio"/>
    <n v="92.28"/>
    <n v="92.223759999999999"/>
    <d v="2013-04-01T00:00:00"/>
    <x v="3"/>
    <x v="2"/>
  </r>
  <r>
    <s v="Brasil"/>
    <s v="Transportes, serviços auxiliares aos transportes e correio"/>
    <n v="91.63"/>
    <n v="93.782120000000006"/>
    <d v="2013-05-01T00:00:00"/>
    <x v="4"/>
    <x v="2"/>
  </r>
  <r>
    <s v="Brasil"/>
    <s v="Transportes, serviços auxiliares aos transportes e correio"/>
    <n v="91.62"/>
    <n v="89.860690000000005"/>
    <d v="2013-06-01T00:00:00"/>
    <x v="5"/>
    <x v="2"/>
  </r>
  <r>
    <s v="Brasil"/>
    <s v="Transportes, serviços auxiliares aos transportes e correio"/>
    <n v="92.09"/>
    <n v="96.094009999999997"/>
    <d v="2013-07-01T00:00:00"/>
    <x v="6"/>
    <x v="2"/>
  </r>
  <r>
    <s v="Brasil"/>
    <s v="Transportes, serviços auxiliares aos transportes e correio"/>
    <n v="91.94"/>
    <n v="97.274209999999997"/>
    <d v="2013-08-01T00:00:00"/>
    <x v="7"/>
    <x v="2"/>
  </r>
  <r>
    <s v="Brasil"/>
    <s v="Transportes, serviços auxiliares aos transportes e correio"/>
    <n v="93.22"/>
    <n v="94.342380000000006"/>
    <d v="2013-09-01T00:00:00"/>
    <x v="8"/>
    <x v="2"/>
  </r>
  <r>
    <s v="Brasil"/>
    <s v="Transportes, serviços auxiliares aos transportes e correio"/>
    <n v="93.62"/>
    <n v="99.03407"/>
    <d v="2013-10-01T00:00:00"/>
    <x v="9"/>
    <x v="2"/>
  </r>
  <r>
    <s v="Brasil"/>
    <s v="Transportes, serviços auxiliares aos transportes e correio"/>
    <n v="93.86"/>
    <n v="94.245580000000004"/>
    <d v="2013-11-01T00:00:00"/>
    <x v="10"/>
    <x v="2"/>
  </r>
  <r>
    <s v="Brasil"/>
    <s v="Transportes, serviços auxiliares aos transportes e correio"/>
    <n v="93.91"/>
    <n v="94.832300000000004"/>
    <d v="2013-12-01T00:00:00"/>
    <x v="11"/>
    <x v="2"/>
  </r>
  <r>
    <s v="Brasil"/>
    <s v="Transportes, serviços auxiliares aos transportes e correio"/>
    <n v="95.54"/>
    <n v="90.165750000000003"/>
    <d v="2014-01-01T00:00:00"/>
    <x v="0"/>
    <x v="3"/>
  </r>
  <r>
    <s v="Brasil"/>
    <s v="Transportes, serviços auxiliares aos transportes e correio"/>
    <n v="98.37"/>
    <n v="89.80444"/>
    <d v="2014-02-01T00:00:00"/>
    <x v="1"/>
    <x v="3"/>
  </r>
  <r>
    <s v="Brasil"/>
    <s v="Transportes, serviços auxiliares aos transportes e correio"/>
    <n v="95.05"/>
    <n v="91.923410000000004"/>
    <d v="2014-03-01T00:00:00"/>
    <x v="2"/>
    <x v="3"/>
  </r>
  <r>
    <s v="Brasil"/>
    <s v="Transportes, serviços auxiliares aos transportes e correio"/>
    <n v="95.41"/>
    <n v="93.541120000000006"/>
    <d v="2014-04-01T00:00:00"/>
    <x v="3"/>
    <x v="3"/>
  </r>
  <r>
    <s v="Brasil"/>
    <s v="Transportes, serviços auxiliares aos transportes e correio"/>
    <n v="94.5"/>
    <n v="96.744879999999995"/>
    <d v="2014-05-01T00:00:00"/>
    <x v="4"/>
    <x v="3"/>
  </r>
  <r>
    <s v="Brasil"/>
    <s v="Transportes, serviços auxiliares aos transportes e correio"/>
    <n v="91.8"/>
    <n v="89.915980000000005"/>
    <d v="2014-06-01T00:00:00"/>
    <x v="5"/>
    <x v="3"/>
  </r>
  <r>
    <s v="Brasil"/>
    <s v="Transportes, serviços auxiliares aos transportes e correio"/>
    <n v="95.86"/>
    <n v="100.03606000000001"/>
    <d v="2014-07-01T00:00:00"/>
    <x v="6"/>
    <x v="3"/>
  </r>
  <r>
    <s v="Brasil"/>
    <s v="Transportes, serviços auxiliares aos transportes e correio"/>
    <n v="94.02"/>
    <n v="98.066180000000003"/>
    <d v="2014-08-01T00:00:00"/>
    <x v="7"/>
    <x v="3"/>
  </r>
  <r>
    <s v="Brasil"/>
    <s v="Transportes, serviços auxiliares aos transportes e correio"/>
    <n v="94.82"/>
    <n v="97.597909999999999"/>
    <d v="2014-09-01T00:00:00"/>
    <x v="8"/>
    <x v="3"/>
  </r>
  <r>
    <s v="Brasil"/>
    <s v="Transportes, serviços auxiliares aos transportes e correio"/>
    <n v="94.19"/>
    <n v="99.225030000000004"/>
    <d v="2014-10-01T00:00:00"/>
    <x v="9"/>
    <x v="3"/>
  </r>
  <r>
    <s v="Brasil"/>
    <s v="Transportes, serviços auxiliares aos transportes e correio"/>
    <n v="96.86"/>
    <n v="95.863249999999994"/>
    <d v="2014-11-01T00:00:00"/>
    <x v="10"/>
    <x v="3"/>
  </r>
  <r>
    <s v="Brasil"/>
    <s v="Transportes, serviços auxiliares aos transportes e correio"/>
    <n v="93.2"/>
    <n v="95.744810000000001"/>
    <d v="2014-12-01T00:00:00"/>
    <x v="11"/>
    <x v="3"/>
  </r>
  <r>
    <s v="Brasil"/>
    <s v="Transportes, serviços auxiliares aos transportes e correio"/>
    <n v="89.64"/>
    <n v="84.020399999999995"/>
    <d v="2015-01-01T00:00:00"/>
    <x v="0"/>
    <x v="4"/>
  </r>
  <r>
    <s v="Brasil"/>
    <s v="Transportes, serviços auxiliares aos transportes e correio"/>
    <n v="90.49"/>
    <n v="79.450559999999996"/>
    <d v="2015-02-01T00:00:00"/>
    <x v="1"/>
    <x v="4"/>
  </r>
  <r>
    <s v="Brasil"/>
    <s v="Transportes, serviços auxiliares aos transportes e correio"/>
    <n v="92.37"/>
    <n v="93.731110000000001"/>
    <d v="2015-03-01T00:00:00"/>
    <x v="2"/>
    <x v="4"/>
  </r>
  <r>
    <s v="Brasil"/>
    <s v="Transportes, serviços auxiliares aos transportes e correio"/>
    <n v="89.9"/>
    <n v="87.622709999999998"/>
    <d v="2015-04-01T00:00:00"/>
    <x v="3"/>
    <x v="4"/>
  </r>
  <r>
    <s v="Brasil"/>
    <s v="Transportes, serviços auxiliares aos transportes e correio"/>
    <n v="90.1"/>
    <n v="90.994380000000007"/>
    <d v="2015-05-01T00:00:00"/>
    <x v="4"/>
    <x v="4"/>
  </r>
  <r>
    <s v="Brasil"/>
    <s v="Transportes, serviços auxiliares aos transportes e correio"/>
    <n v="86.81"/>
    <n v="86.684179999999998"/>
    <d v="2015-06-01T00:00:00"/>
    <x v="5"/>
    <x v="4"/>
  </r>
  <r>
    <s v="Brasil"/>
    <s v="Transportes, serviços auxiliares aos transportes e correio"/>
    <n v="87.82"/>
    <n v="91.576610000000002"/>
    <d v="2015-07-01T00:00:00"/>
    <x v="6"/>
    <x v="4"/>
  </r>
  <r>
    <s v="Brasil"/>
    <s v="Transportes, serviços auxiliares aos transportes e correio"/>
    <n v="90.15"/>
    <n v="93.805610000000001"/>
    <d v="2015-08-01T00:00:00"/>
    <x v="7"/>
    <x v="4"/>
  </r>
  <r>
    <s v="Brasil"/>
    <s v="Transportes, serviços auxiliares aos transportes e correio"/>
    <n v="88.48"/>
    <n v="91.362989999999996"/>
    <d v="2015-09-01T00:00:00"/>
    <x v="8"/>
    <x v="4"/>
  </r>
  <r>
    <s v="Brasil"/>
    <s v="Transportes, serviços auxiliares aos transportes e correio"/>
    <n v="88.91"/>
    <n v="92.621619999999993"/>
    <d v="2015-10-01T00:00:00"/>
    <x v="9"/>
    <x v="4"/>
  </r>
  <r>
    <s v="Brasil"/>
    <s v="Transportes, serviços auxiliares aos transportes e correio"/>
    <n v="88.29"/>
    <n v="87.756450000000001"/>
    <d v="2015-11-01T00:00:00"/>
    <x v="10"/>
    <x v="4"/>
  </r>
  <r>
    <s v="Brasil"/>
    <s v="Transportes, serviços auxiliares aos transportes e correio"/>
    <n v="86.49"/>
    <n v="89.145300000000006"/>
    <d v="2015-12-01T00:00:00"/>
    <x v="11"/>
    <x v="4"/>
  </r>
  <r>
    <s v="Brasil"/>
    <s v="Transportes, serviços auxiliares aos transportes e correio"/>
    <n v="85.54"/>
    <n v="79.121780000000001"/>
    <d v="2016-01-01T00:00:00"/>
    <x v="0"/>
    <x v="5"/>
  </r>
  <r>
    <s v="Brasil"/>
    <s v="Transportes, serviços auxiliares aos transportes e correio"/>
    <n v="85.33"/>
    <n v="77.819770000000005"/>
    <d v="2016-02-01T00:00:00"/>
    <x v="1"/>
    <x v="5"/>
  </r>
  <r>
    <s v="Brasil"/>
    <s v="Transportes, serviços auxiliares aos transportes e correio"/>
    <n v="86.1"/>
    <n v="86.982349999999997"/>
    <d v="2016-03-01T00:00:00"/>
    <x v="2"/>
    <x v="5"/>
  </r>
  <r>
    <s v="Brasil"/>
    <s v="Transportes, serviços auxiliares aos transportes e correio"/>
    <n v="82.47"/>
    <n v="81.280180000000001"/>
    <d v="2016-04-01T00:00:00"/>
    <x v="3"/>
    <x v="5"/>
  </r>
  <r>
    <s v="Brasil"/>
    <s v="Transportes, serviços auxiliares aos transportes e correio"/>
    <n v="83.17"/>
    <n v="82.754990000000006"/>
    <d v="2016-05-01T00:00:00"/>
    <x v="4"/>
    <x v="5"/>
  </r>
  <r>
    <s v="Brasil"/>
    <s v="Transportes, serviços auxiliares aos transportes e correio"/>
    <n v="81.760000000000005"/>
    <n v="83.554730000000006"/>
    <d v="2016-06-01T00:00:00"/>
    <x v="5"/>
    <x v="5"/>
  </r>
  <r>
    <s v="Brasil"/>
    <s v="Transportes, serviços auxiliares aos transportes e correio"/>
    <n v="81.81"/>
    <n v="83.617410000000007"/>
    <d v="2016-07-01T00:00:00"/>
    <x v="6"/>
    <x v="5"/>
  </r>
  <r>
    <s v="Brasil"/>
    <s v="Transportes, serviços auxiliares aos transportes e correio"/>
    <n v="80.13"/>
    <n v="85.391469999999998"/>
    <d v="2016-08-01T00:00:00"/>
    <x v="7"/>
    <x v="5"/>
  </r>
  <r>
    <s v="Brasil"/>
    <s v="Transportes, serviços auxiliares aos transportes e correio"/>
    <n v="80.78"/>
    <n v="83.098560000000006"/>
    <d v="2016-09-01T00:00:00"/>
    <x v="8"/>
    <x v="5"/>
  </r>
  <r>
    <s v="Brasil"/>
    <s v="Transportes, serviços auxiliares aos transportes e correio"/>
    <n v="78.64"/>
    <n v="80.257220000000004"/>
    <d v="2016-10-01T00:00:00"/>
    <x v="9"/>
    <x v="5"/>
  </r>
  <r>
    <s v="Brasil"/>
    <s v="Transportes, serviços auxiliares aos transportes e correio"/>
    <n v="79.61"/>
    <n v="80.839799999999997"/>
    <d v="2016-11-01T00:00:00"/>
    <x v="10"/>
    <x v="5"/>
  </r>
  <r>
    <s v="Brasil"/>
    <s v="Transportes, serviços auxiliares aos transportes e correio"/>
    <n v="80.72"/>
    <n v="82.710470000000001"/>
    <d v="2016-12-01T00:00:00"/>
    <x v="11"/>
    <x v="5"/>
  </r>
  <r>
    <s v="Brasil"/>
    <s v="Transportes, serviços auxiliares aos transportes e correio"/>
    <n v="82.55"/>
    <n v="76.795940000000002"/>
    <d v="2017-01-01T00:00:00"/>
    <x v="0"/>
    <x v="6"/>
  </r>
  <r>
    <s v="Brasil"/>
    <s v="Transportes, serviços auxiliares aos transportes e correio"/>
    <n v="84.03"/>
    <n v="74.029759999999996"/>
    <d v="2017-02-01T00:00:00"/>
    <x v="1"/>
    <x v="6"/>
  </r>
  <r>
    <s v="Brasil"/>
    <s v="Transportes, serviços auxiliares aos transportes e correio"/>
    <n v="83.08"/>
    <n v="85.313500000000005"/>
    <d v="2017-03-01T00:00:00"/>
    <x v="2"/>
    <x v="6"/>
  </r>
  <r>
    <s v="Brasil"/>
    <s v="Transportes, serviços auxiliares aos transportes e correio"/>
    <n v="84.41"/>
    <n v="80.060599999999994"/>
    <d v="2017-04-01T00:00:00"/>
    <x v="3"/>
    <x v="6"/>
  </r>
  <r>
    <s v="Brasil"/>
    <s v="Transportes, serviços auxiliares aos transportes e correio"/>
    <n v="83.59"/>
    <n v="86.338260000000005"/>
    <d v="2017-05-01T00:00:00"/>
    <x v="4"/>
    <x v="6"/>
  </r>
  <r>
    <s v="Brasil"/>
    <s v="Transportes, serviços auxiliares aos transportes e correio"/>
    <n v="85.13"/>
    <n v="85.312200000000004"/>
    <d v="2017-06-01T00:00:00"/>
    <x v="5"/>
    <x v="6"/>
  </r>
  <r>
    <s v="Brasil"/>
    <s v="Transportes, serviços auxiliares aos transportes e correio"/>
    <n v="84.41"/>
    <n v="86.108969999999999"/>
    <d v="2017-07-01T00:00:00"/>
    <x v="6"/>
    <x v="6"/>
  </r>
  <r>
    <s v="Brasil"/>
    <s v="Transportes, serviços auxiliares aos transportes e correio"/>
    <n v="84.22"/>
    <n v="89.892759999999996"/>
    <d v="2017-08-01T00:00:00"/>
    <x v="7"/>
    <x v="6"/>
  </r>
  <r>
    <s v="Brasil"/>
    <s v="Transportes, serviços auxiliares aos transportes e correio"/>
    <n v="83.89"/>
    <n v="85.92944"/>
    <d v="2017-09-01T00:00:00"/>
    <x v="8"/>
    <x v="6"/>
  </r>
  <r>
    <s v="Brasil"/>
    <s v="Transportes, serviços auxiliares aos transportes e correio"/>
    <n v="85.08"/>
    <n v="87.136080000000007"/>
    <d v="2017-10-01T00:00:00"/>
    <x v="9"/>
    <x v="6"/>
  </r>
  <r>
    <s v="Brasil"/>
    <s v="Transportes, serviços auxiliares aos transportes e correio"/>
    <n v="84.99"/>
    <n v="86.181200000000004"/>
    <d v="2017-11-01T00:00:00"/>
    <x v="10"/>
    <x v="6"/>
  </r>
  <r>
    <s v="Brasil"/>
    <s v="Transportes, serviços auxiliares aos transportes e correio"/>
    <n v="85.75"/>
    <n v="86.689139999999995"/>
    <d v="2017-12-01T00:00:00"/>
    <x v="11"/>
    <x v="6"/>
  </r>
  <r>
    <s v="Brasil"/>
    <s v="Transportes, serviços auxiliares aos transportes e correio"/>
    <n v="84.07"/>
    <n v="79.675330000000002"/>
    <d v="2018-01-01T00:00:00"/>
    <x v="0"/>
    <x v="7"/>
  </r>
  <r>
    <s v="Brasil"/>
    <s v="Transportes, serviços auxiliares aos transportes e correio"/>
    <n v="84.31"/>
    <n v="74.438860000000005"/>
    <d v="2018-02-01T00:00:00"/>
    <x v="1"/>
    <x v="7"/>
  </r>
  <r>
    <s v="Brasil"/>
    <s v="Transportes, serviços auxiliares aos transportes e correio"/>
    <n v="84.97"/>
    <n v="84.626189999999994"/>
    <d v="2018-03-01T00:00:00"/>
    <x v="2"/>
    <x v="7"/>
  </r>
  <r>
    <s v="Brasil"/>
    <s v="Transportes, serviços auxiliares aos transportes e correio"/>
    <n v="86.16"/>
    <n v="83.508160000000004"/>
    <d v="2018-04-01T00:00:00"/>
    <x v="3"/>
    <x v="7"/>
  </r>
  <r>
    <s v="Brasil"/>
    <s v="Transportes, serviços auxiliares aos transportes e correio"/>
    <n v="77.099999999999994"/>
    <n v="79.763980000000004"/>
    <d v="2018-05-01T00:00:00"/>
    <x v="4"/>
    <x v="7"/>
  </r>
  <r>
    <s v="Brasil"/>
    <s v="Transportes, serviços auxiliares aos transportes e correio"/>
    <n v="89.13"/>
    <n v="89.097070000000002"/>
    <d v="2018-06-01T00:00:00"/>
    <x v="5"/>
    <x v="7"/>
  </r>
  <r>
    <s v="Brasil"/>
    <s v="Transportes, serviços auxiliares aos transportes e correio"/>
    <n v="84.95"/>
    <n v="87.284570000000002"/>
    <d v="2018-07-01T00:00:00"/>
    <x v="6"/>
    <x v="7"/>
  </r>
  <r>
    <s v="Brasil"/>
    <s v="Transportes, serviços auxiliares aos transportes e correio"/>
    <n v="87.99"/>
    <n v="93.862729999999999"/>
    <d v="2018-08-01T00:00:00"/>
    <x v="7"/>
    <x v="7"/>
  </r>
  <r>
    <s v="Brasil"/>
    <s v="Transportes, serviços auxiliares aos transportes e correio"/>
    <n v="86.23"/>
    <n v="86.936880000000002"/>
    <d v="2018-09-01T00:00:00"/>
    <x v="8"/>
    <x v="7"/>
  </r>
  <r>
    <s v="Brasil"/>
    <s v="Transportes, serviços auxiliares aos transportes e correio"/>
    <n v="85.97"/>
    <n v="89.232919999999993"/>
    <d v="2018-10-01T00:00:00"/>
    <x v="9"/>
    <x v="7"/>
  </r>
  <r>
    <s v="Brasil"/>
    <s v="Transportes, serviços auxiliares aos transportes e correio"/>
    <n v="85.58"/>
    <n v="86.793700000000001"/>
    <d v="2018-11-01T00:00:00"/>
    <x v="10"/>
    <x v="7"/>
  </r>
  <r>
    <s v="Brasil"/>
    <s v="Transportes, serviços auxiliares aos transportes e correio"/>
    <n v="85.8"/>
    <n v="86.469220000000007"/>
    <d v="2018-12-01T00:00:00"/>
    <x v="11"/>
    <x v="7"/>
  </r>
  <r>
    <s v="Brasil"/>
    <s v="Transportes, serviços auxiliares aos transportes e correio"/>
    <n v="84.26"/>
    <n v="80.189779999999999"/>
    <d v="2019-01-01T00:00:00"/>
    <x v="0"/>
    <x v="8"/>
  </r>
  <r>
    <s v="Brasil"/>
    <s v="Transportes, serviços auxiliares aos transportes e correio"/>
    <n v="81.599999999999994"/>
    <n v="76.211479999999995"/>
    <d v="2019-02-01T00:00:00"/>
    <x v="1"/>
    <x v="8"/>
  </r>
  <r>
    <s v="Brasil"/>
    <s v="Transportes, serviços auxiliares aos transportes e correio"/>
    <n v="82.93"/>
    <n v="78.507350000000002"/>
    <d v="2019-03-01T00:00:00"/>
    <x v="2"/>
    <x v="8"/>
  </r>
  <r>
    <s v="Brasil"/>
    <s v="Transportes, serviços auxiliares aos transportes e correio"/>
    <n v="82.29"/>
    <n v="79.368639999999999"/>
    <d v="2019-04-01T00:00:00"/>
    <x v="3"/>
    <x v="8"/>
  </r>
  <r>
    <s v="Brasil"/>
    <s v="Transportes, serviços auxiliares aos transportes e correio"/>
    <n v="81.61"/>
    <n v="84.327740000000006"/>
    <d v="2019-05-01T00:00:00"/>
    <x v="4"/>
    <x v="8"/>
  </r>
  <r>
    <s v="Brasil"/>
    <s v="Transportes, serviços auxiliares aos transportes e correio"/>
    <n v="80.67"/>
    <n v="79.509259999999998"/>
    <d v="2019-06-01T00:00:00"/>
    <x v="5"/>
    <x v="8"/>
  </r>
  <r>
    <s v="Brasil"/>
    <s v="Transportes, serviços auxiliares aos transportes e correio"/>
    <n v="82.28"/>
    <n v="86.012200000000007"/>
    <d v="2019-07-01T00:00:00"/>
    <x v="6"/>
    <x v="8"/>
  </r>
  <r>
    <s v="Brasil"/>
    <s v="Transportes, serviços auxiliares aos transportes e correio"/>
    <n v="81.53"/>
    <n v="86.500879999999995"/>
    <d v="2019-08-01T00:00:00"/>
    <x v="7"/>
    <x v="8"/>
  </r>
  <r>
    <s v="Brasil"/>
    <s v="Transportes, serviços auxiliares aos transportes e correio"/>
    <n v="84.4"/>
    <n v="85.356930000000006"/>
    <d v="2019-09-01T00:00:00"/>
    <x v="8"/>
    <x v="8"/>
  </r>
  <r>
    <s v="Brasil"/>
    <s v="Transportes, serviços auxiliares aos transportes e correio"/>
    <n v="86.61"/>
    <n v="89.651079999999993"/>
    <d v="2019-10-01T00:00:00"/>
    <x v="9"/>
    <x v="8"/>
  </r>
  <r>
    <s v="Brasil"/>
    <s v="Transportes, serviços auxiliares aos transportes e correio"/>
    <n v="84.58"/>
    <n v="85.270139999999998"/>
    <d v="2019-11-01T00:00:00"/>
    <x v="10"/>
    <x v="8"/>
  </r>
  <r>
    <s v="Brasil"/>
    <s v="Transportes, serviços auxiliares aos transportes e correio"/>
    <n v="83.81"/>
    <n v="85.010739999999998"/>
    <d v="2019-12-01T00:00:00"/>
    <x v="11"/>
    <x v="8"/>
  </r>
  <r>
    <s v="Brasil"/>
    <s v="Transportes, serviços auxiliares aos transportes e correio"/>
    <n v="84.91"/>
    <n v="80.961569999999995"/>
    <d v="2020-01-01T00:00:00"/>
    <x v="0"/>
    <x v="9"/>
  </r>
  <r>
    <s v="Brasil"/>
    <s v="Transportes, serviços auxiliares aos transportes e correio"/>
    <n v="84.47"/>
    <n v="77.456239999999994"/>
    <d v="2020-02-01T00:00:00"/>
    <x v="1"/>
    <x v="9"/>
  </r>
  <r>
    <s v="Brasil"/>
    <s v="Transportes, serviços auxiliares aos transportes e correio"/>
    <n v="78.599999999999994"/>
    <n v="78.821870000000004"/>
    <d v="2020-03-01T00:00:00"/>
    <x v="2"/>
    <x v="9"/>
  </r>
  <r>
    <s v="Brasil"/>
    <s v="Transportes, serviços auxiliares aos transportes e correio"/>
    <n v="64.92"/>
    <n v="62.533999999999999"/>
    <d v="2020-04-01T00:00:00"/>
    <x v="3"/>
    <x v="9"/>
  </r>
  <r>
    <s v="Brasil"/>
    <s v="Transportes, serviços auxiliares aos transportes e correio"/>
    <n v="66.19"/>
    <n v="67.000559999999993"/>
    <d v="2020-05-01T00:00:00"/>
    <x v="4"/>
    <x v="9"/>
  </r>
  <r>
    <s v="Brasil"/>
    <s v="Transportes, serviços auxiliares aos transportes e correio"/>
    <n v="70.069999999999993"/>
    <n v="70.540279999999996"/>
    <d v="2020-06-01T00:00:00"/>
    <x v="5"/>
    <x v="9"/>
  </r>
  <r>
    <s v="Brasil"/>
    <s v="Transportes, serviços auxiliares aos transportes e correio"/>
    <n v="72.64"/>
    <n v="76.076859999999996"/>
    <d v="2020-07-01T00:00:00"/>
    <x v="6"/>
    <x v="9"/>
  </r>
  <r>
    <s v="Brasil"/>
    <s v="Transportes, serviços auxiliares aos transportes e correio"/>
    <n v="75.78"/>
    <n v="79.191609999999997"/>
    <d v="2020-08-01T00:00:00"/>
    <x v="7"/>
    <x v="9"/>
  </r>
  <r>
    <s v="Brasil"/>
    <s v="Transportes, serviços auxiliares aos transportes e correio"/>
    <n v="77.89"/>
    <n v="80.319389999999999"/>
    <d v="2020-09-01T00:00:00"/>
    <x v="8"/>
    <x v="9"/>
  </r>
  <r>
    <s v="Brasil"/>
    <s v="Transportes, serviços auxiliares aos transportes e correio"/>
    <n v="80.489999999999995"/>
    <n v="82.365759999999995"/>
    <d v="2020-10-01T00:00:00"/>
    <x v="9"/>
    <x v="9"/>
  </r>
  <r>
    <s v="Brasil"/>
    <s v="Transportes, serviços auxiliares aos transportes e correio"/>
    <n v="81.83"/>
    <n v="81.240279999999998"/>
    <d v="2020-11-01T00:00:00"/>
    <x v="10"/>
    <x v="9"/>
  </r>
  <r>
    <s v="Brasil"/>
    <s v="Transportes, serviços auxiliares aos transportes e correio"/>
    <n v="80.849999999999994"/>
    <n v="83.305350000000004"/>
    <d v="2020-12-01T00:00:00"/>
    <x v="11"/>
    <x v="9"/>
  </r>
  <r>
    <s v="Brasil"/>
    <s v="Transportes, serviços auxiliares aos transportes e correio"/>
    <n v="83.24"/>
    <n v="77.901240000000001"/>
    <d v="2021-01-01T00:00:00"/>
    <x v="0"/>
    <x v="10"/>
  </r>
  <r>
    <s v="Brasil"/>
    <s v="Transportes, serviços auxiliares aos transportes e correio"/>
    <n v="87.08"/>
    <n v="77.52937"/>
    <d v="2021-02-01T00:00:00"/>
    <x v="1"/>
    <x v="10"/>
  </r>
  <r>
    <s v="Brasil"/>
    <s v="Transportes, serviços auxiliares aos transportes e correio"/>
    <n v="84.04"/>
    <n v="85.757180000000005"/>
    <d v="2021-03-01T00:00:00"/>
    <x v="2"/>
    <x v="10"/>
  </r>
  <r>
    <s v="Brasil"/>
    <s v="Transportes, serviços auxiliares aos transportes e correio"/>
    <n v="85.13"/>
    <n v="81.908159999999995"/>
    <d v="2021-04-01T00:00:00"/>
    <x v="3"/>
    <x v="10"/>
  </r>
  <r>
    <s v="Brasil"/>
    <s v="Transportes, serviços auxiliares aos transportes e correio"/>
    <n v="88.03"/>
    <n v="88.83211"/>
    <d v="2021-05-01T00:00:00"/>
    <x v="4"/>
    <x v="10"/>
  </r>
  <r>
    <s v="Brasil"/>
    <s v="Transportes, serviços auxiliares aos transportes e correio"/>
    <n v="89"/>
    <n v="90.05001"/>
    <d v="2021-06-01T00:00:00"/>
    <x v="5"/>
    <x v="10"/>
  </r>
  <r>
    <s v="Brasil"/>
    <s v="Transportes, serviços auxiliares aos transportes e correio"/>
    <n v="88.27"/>
    <n v="92.047160000000005"/>
    <d v="2021-07-01T00:00:00"/>
    <x v="6"/>
    <x v="10"/>
  </r>
  <r>
    <s v="Brasil"/>
    <s v="Transportes, serviços auxiliares aos transportes e correio"/>
    <n v="89.77"/>
    <n v="94.491579999999999"/>
    <d v="2021-08-01T00:00:00"/>
    <x v="7"/>
    <x v="10"/>
  </r>
  <r>
    <s v="Brasil"/>
    <s v="Transportes, serviços auxiliares aos transportes e correio"/>
    <n v="88.8"/>
    <n v="91.360150000000004"/>
    <d v="2021-09-01T00:00:00"/>
    <x v="8"/>
    <x v="10"/>
  </r>
  <r>
    <s v="Brasil"/>
    <s v="Transportes, serviços auxiliares aos transportes e correio"/>
    <n v="90.01"/>
    <n v="90.545599999999993"/>
    <d v="2021-10-01T00:00:00"/>
    <x v="9"/>
    <x v="10"/>
  </r>
  <r>
    <s v="Brasil"/>
    <s v="Transportes, serviços auxiliares aos transportes e correio"/>
    <n v="91.96"/>
    <n v="92.340710000000001"/>
    <d v="2021-11-01T00:00:00"/>
    <x v="10"/>
    <x v="10"/>
  </r>
  <r>
    <s v="Brasil"/>
    <s v="Transportes, serviços auxiliares aos transportes e correio"/>
    <n v="93.73"/>
    <n v="96.405060000000006"/>
    <d v="2021-12-01T00:00:00"/>
    <x v="11"/>
    <x v="10"/>
  </r>
  <r>
    <s v="Brasil"/>
    <s v="Transportes, serviços auxiliares aos transportes e correio"/>
    <n v="96.08"/>
    <n v="89.68083"/>
    <d v="2022-01-01T00:00:00"/>
    <x v="0"/>
    <x v="11"/>
  </r>
  <r>
    <s v="Brasil"/>
    <s v="Transportes, serviços auxiliares aos transportes e correio"/>
    <n v="99.01"/>
    <n v="88.421710000000004"/>
    <d v="2022-02-01T00:00:00"/>
    <x v="1"/>
    <x v="11"/>
  </r>
  <r>
    <s v="Brasil"/>
    <s v="Transportes, serviços auxiliares aos transportes e correio"/>
    <n v="98.39"/>
    <n v="100.64192"/>
    <d v="2022-03-01T00:00:00"/>
    <x v="2"/>
    <x v="11"/>
  </r>
  <r>
    <s v="Brasil"/>
    <s v="Transportes, serviços auxiliares aos transportes e correio"/>
    <n v="98.81"/>
    <n v="94.722229999999996"/>
    <d v="2022-04-01T00:00:00"/>
    <x v="3"/>
    <x v="11"/>
  </r>
  <r>
    <s v="Brasil"/>
    <s v="Transportes, serviços auxiliares aos transportes e correio"/>
    <n v="97.89"/>
    <n v="99.385059999999996"/>
    <d v="2022-05-01T00:00:00"/>
    <x v="4"/>
    <x v="11"/>
  </r>
  <r>
    <s v="Brasil"/>
    <s v="Transportes, serviços auxiliares aos transportes e correio"/>
    <n v="97.86"/>
    <n v="99.139979999999994"/>
    <d v="2022-06-01T00:00:00"/>
    <x v="5"/>
    <x v="11"/>
  </r>
  <r>
    <s v="Brasil"/>
    <s v="Transportes, serviços auxiliares aos transportes e correio"/>
    <n v="100.81"/>
    <n v="103.91275"/>
    <d v="2022-07-01T00:00:00"/>
    <x v="6"/>
    <x v="11"/>
  </r>
  <r>
    <s v="Brasil"/>
    <s v="Transportes, serviços auxiliares aos transportes e correio"/>
    <n v="101.99"/>
    <n v="108.95581"/>
    <d v="2022-08-01T00:00:00"/>
    <x v="7"/>
    <x v="11"/>
  </r>
  <r>
    <s v="Brasil"/>
    <s v="Transportes, serviços auxiliares aos transportes e correio"/>
    <n v="102.26"/>
    <n v="105.08134"/>
    <d v="2022-09-01T00:00:00"/>
    <x v="8"/>
    <x v="11"/>
  </r>
  <r>
    <s v="Brasil"/>
    <s v="Transportes, serviços auxiliares aos transportes e correio"/>
    <n v="101.46"/>
    <n v="101.65676999999999"/>
    <d v="2022-10-01T00:00:00"/>
    <x v="9"/>
    <x v="11"/>
  </r>
  <r>
    <s v="Brasil"/>
    <s v="Transportes, serviços auxiliares aos transportes e correio"/>
    <n v="101.91"/>
    <n v="102.13943999999999"/>
    <d v="2022-11-01T00:00:00"/>
    <x v="10"/>
    <x v="11"/>
  </r>
  <r>
    <s v="Brasil"/>
    <s v="Transportes, serviços auxiliares aos transportes e correio"/>
    <n v="103.99"/>
    <n v="106.26215000000001"/>
    <d v="2022-12-01T00:00:00"/>
    <x v="11"/>
    <x v="11"/>
  </r>
  <r>
    <s v="Brasil"/>
    <s v="Transportes, serviços auxiliares aos transportes e correio"/>
    <n v="100.36"/>
    <n v="94.141990000000007"/>
    <d v="2023-01-01T00:00:00"/>
    <x v="0"/>
    <x v="12"/>
  </r>
  <r>
    <s v="Brasil"/>
    <s v="Transportes, serviços auxiliares aos transportes e correio"/>
    <n v="103.73"/>
    <n v="92.744280000000003"/>
    <d v="2023-02-01T00:00:00"/>
    <x v="1"/>
    <x v="12"/>
  </r>
  <r>
    <s v="Brasil"/>
    <s v="Transportes, serviços auxiliares aos transportes e correio"/>
    <n v="106.35"/>
    <n v="108.88903000000001"/>
    <d v="2023-03-01T00:00:00"/>
    <x v="2"/>
    <x v="12"/>
  </r>
  <r>
    <s v="Brasil"/>
    <s v="Transportes, serviços auxiliares aos transportes e correio"/>
    <n v="101.57"/>
    <n v="96.175780000000003"/>
    <d v="2023-04-01T00:00:00"/>
    <x v="3"/>
    <x v="12"/>
  </r>
  <r>
    <s v="Brasil"/>
    <s v="Transportes, serviços auxiliares aos transportes e correio"/>
    <n v="103.24"/>
    <n v="106.34228"/>
    <d v="2023-05-01T00:00:00"/>
    <x v="4"/>
    <x v="12"/>
  </r>
  <r>
    <s v="Brasil"/>
    <s v="Transportes, serviços auxiliares aos transportes e correio"/>
    <n v="102.11"/>
    <n v="103.67473"/>
    <d v="2023-06-01T00:00:00"/>
    <x v="5"/>
    <x v="12"/>
  </r>
  <r>
    <s v="Brasil"/>
    <s v="Transportes, serviços auxiliares aos transportes e correio"/>
    <n v="103.39"/>
    <n v="106.4256"/>
    <d v="2023-07-01T00:00:00"/>
    <x v="6"/>
    <x v="12"/>
  </r>
  <r>
    <s v="Brasil"/>
    <s v="Transportes, serviços auxiliares aos transportes e correio"/>
    <n v="100.99"/>
    <n v="107.88431"/>
    <d v="2023-08-01T00:00:00"/>
    <x v="7"/>
    <x v="12"/>
  </r>
  <r>
    <s v="Brasil"/>
    <s v="Transportes, serviços auxiliares aos transportes e correio"/>
    <n v="100.66"/>
    <n v="102.97417"/>
    <d v="2023-09-01T00:00:00"/>
    <x v="8"/>
    <x v="12"/>
  </r>
  <r>
    <s v="Brasil"/>
    <s v="Transportes, serviços auxiliares aos transportes e correio"/>
    <n v="99.82"/>
    <n v="100.70574999999999"/>
    <d v="2023-10-01T00:00:00"/>
    <x v="9"/>
    <x v="12"/>
  </r>
  <r>
    <s v="Brasil"/>
    <s v="Transportes, serviços auxiliares aos transportes e correio"/>
    <n v="98.85"/>
    <n v="98.421620000000004"/>
    <d v="2023-11-01T00:00:00"/>
    <x v="10"/>
    <x v="12"/>
  </r>
  <r>
    <s v="Brasil"/>
    <s v="Transportes, serviços auxiliares aos transportes e correio"/>
    <n v="98.96"/>
    <n v="99.862710000000007"/>
    <d v="2023-12-01T00:00:00"/>
    <x v="11"/>
    <x v="12"/>
  </r>
  <r>
    <s v="Brasil"/>
    <s v="Transportes, serviços auxiliares aos transportes e correio"/>
    <n v="100.99"/>
    <n v="95.927400000000006"/>
    <d v="2024-01-01T00:00:00"/>
    <x v="0"/>
    <x v="13"/>
  </r>
  <r>
    <s v="Brasil"/>
    <s v="Transportes, serviços auxiliares aos transportes e correio"/>
    <n v="99.16"/>
    <n v="91.976389999999995"/>
    <d v="2024-02-01T00:00:00"/>
    <x v="1"/>
    <x v="13"/>
  </r>
  <r>
    <s v="Brasil"/>
    <s v="Transportes, serviços auxiliares aos transportes e correio"/>
    <n v="99.2"/>
    <n v="97.708960000000005"/>
    <d v="2024-03-01T00:00:00"/>
    <x v="2"/>
    <x v="13"/>
  </r>
  <r>
    <s v="Brasil"/>
    <s v="Transportes, serviços auxiliares aos transportes e correio"/>
    <n v="100.66"/>
    <n v="99.414860000000004"/>
    <d v="2024-04-01T00:00:00"/>
    <x v="3"/>
    <x v="13"/>
  </r>
  <r>
    <s v="Brasil"/>
    <s v="Transportes, serviços auxiliares aos transportes e correio"/>
    <n v="99.18"/>
    <n v="101.35223000000001"/>
    <d v="2024-05-01T00:00:00"/>
    <x v="4"/>
    <x v="13"/>
  </r>
  <r>
    <s v="Brasil"/>
    <s v="Transportes, serviços auxiliares aos transportes e correio"/>
    <n v="100.59"/>
    <n v="101.04324"/>
    <d v="2024-06-01T00:00:00"/>
    <x v="5"/>
    <x v="13"/>
  </r>
  <r>
    <s v="Brasil"/>
    <s v="Transportes, serviços auxiliares aos transportes e correio"/>
    <n v="99.3"/>
    <n v="104.72772999999999"/>
    <d v="2024-07-01T00:00:00"/>
    <x v="6"/>
    <x v="13"/>
  </r>
  <r>
    <s v="Brasil"/>
    <s v="Transportes, serviços auxiliares aos transportes e correio"/>
    <n v="99.31"/>
    <n v="105.06892999999999"/>
    <d v="2024-08-01T00:00:00"/>
    <x v="7"/>
    <x v="13"/>
  </r>
  <r>
    <s v="Brasil"/>
    <s v="Transportes, serviços auxiliares aos transportes e correio"/>
    <n v="101.04"/>
    <n v="102.21120999999999"/>
    <d v="2024-09-01T00:00:00"/>
    <x v="8"/>
    <x v="13"/>
  </r>
  <r>
    <s v="Brasil"/>
    <s v="Transportes, serviços auxiliares aos transportes e correio"/>
    <n v="104.9"/>
    <n v="107.76057"/>
    <d v="2024-10-01T00:00:00"/>
    <x v="9"/>
    <x v="13"/>
  </r>
  <r>
    <s v="Brasil"/>
    <s v="Transportes, serviços auxiliares aos transportes e correio"/>
    <n v="101.31"/>
    <n v="100.13418"/>
    <d v="2024-11-01T00:00:00"/>
    <x v="10"/>
    <x v="13"/>
  </r>
  <r>
    <s v="Brasil"/>
    <s v="Transportes, serviços auxiliares aos transportes e correio"/>
    <n v="101.73"/>
    <n v="103.17937000000001"/>
    <d v="2024-12-01T00:00:00"/>
    <x v="11"/>
    <x v="13"/>
  </r>
  <r>
    <s v="Brasil"/>
    <s v="Transportes, serviços auxiliares aos transportes e correio"/>
    <n v="100.56"/>
    <n v="95.242199999999997"/>
    <d v="2025-01-01T00:00:00"/>
    <x v="0"/>
    <x v="14"/>
  </r>
  <r>
    <s v="Brasil"/>
    <s v="Transportes, serviços auxiliares aos transportes e correio"/>
    <n v="101.43"/>
    <n v="94.312089999999998"/>
    <d v="2025-02-01T00:00:00"/>
    <x v="1"/>
    <x v="14"/>
  </r>
  <r>
    <s v="Brasil"/>
    <s v="Transportes, serviços auxiliares aos transportes e correio"/>
    <n v="102.61"/>
    <n v="98.890460000000004"/>
    <d v="2025-03-01T00:00:00"/>
    <x v="2"/>
    <x v="14"/>
  </r>
  <r>
    <s v="Brasil"/>
    <s v="Transportes, serviços auxiliares aos transportes e correio"/>
    <n v="103.21"/>
    <n v="100.48217"/>
    <d v="2025-04-01T00:00:00"/>
    <x v="3"/>
    <x v="14"/>
  </r>
  <r>
    <s v="Brasil"/>
    <s v="Transportes, serviços auxiliares aos transportes e correio"/>
    <n v="102.87"/>
    <n v="105.05695"/>
    <d v="2025-05-01T00:00:00"/>
    <x v="4"/>
    <x v="14"/>
  </r>
  <r>
    <s v="Brasil"/>
    <s v="Transportes, serviços auxiliares aos transportes e correio"/>
    <n v="104.29"/>
    <n v="104.56505"/>
    <d v="2025-06-01T00:00:00"/>
    <x v="5"/>
    <x v="14"/>
  </r>
  <r>
    <s v="Brasil"/>
    <s v="Transportes, serviços auxiliares aos transportes e correio"/>
    <n v="103.59"/>
    <n v="109.27217"/>
    <d v="2025-07-01T00:00:00"/>
    <x v="6"/>
    <x v="14"/>
  </r>
  <r>
    <s v="Brasil"/>
    <s v="Transportes, serviços auxiliares aos transportes e correio"/>
    <n v="104.15"/>
    <n v="108.52016"/>
    <d v="2025-08-01T00:00:00"/>
    <x v="7"/>
    <x v="14"/>
  </r>
  <r>
    <s v="Brasil"/>
    <s v="Outros serviços"/>
    <n v="109.58"/>
    <n v="105.95484"/>
    <d v="2011-01-01T00:00:00"/>
    <x v="0"/>
    <x v="0"/>
  </r>
  <r>
    <s v="Brasil"/>
    <s v="Outros serviços"/>
    <n v="108.62"/>
    <n v="105.51536"/>
    <d v="2011-02-01T00:00:00"/>
    <x v="1"/>
    <x v="0"/>
  </r>
  <r>
    <s v="Brasil"/>
    <s v="Outros serviços"/>
    <n v="109.89"/>
    <n v="107.93602"/>
    <d v="2011-03-01T00:00:00"/>
    <x v="2"/>
    <x v="0"/>
  </r>
  <r>
    <s v="Brasil"/>
    <s v="Outros serviços"/>
    <n v="107.8"/>
    <n v="105.83538"/>
    <d v="2011-04-01T00:00:00"/>
    <x v="3"/>
    <x v="0"/>
  </r>
  <r>
    <s v="Brasil"/>
    <s v="Outros serviços"/>
    <n v="110.89"/>
    <n v="112.23802000000001"/>
    <d v="2011-05-01T00:00:00"/>
    <x v="4"/>
    <x v="0"/>
  </r>
  <r>
    <s v="Brasil"/>
    <s v="Outros serviços"/>
    <n v="108.98"/>
    <n v="108.19001"/>
    <d v="2011-06-01T00:00:00"/>
    <x v="5"/>
    <x v="0"/>
  </r>
  <r>
    <s v="Brasil"/>
    <s v="Outros serviços"/>
    <n v="110.38"/>
    <n v="108.01366"/>
    <d v="2011-07-01T00:00:00"/>
    <x v="6"/>
    <x v="0"/>
  </r>
  <r>
    <s v="Brasil"/>
    <s v="Outros serviços"/>
    <n v="110.32"/>
    <n v="113.28489999999999"/>
    <d v="2011-08-01T00:00:00"/>
    <x v="7"/>
    <x v="0"/>
  </r>
  <r>
    <s v="Brasil"/>
    <s v="Outros serviços"/>
    <n v="106.36"/>
    <n v="107.17610000000001"/>
    <d v="2011-09-01T00:00:00"/>
    <x v="8"/>
    <x v="0"/>
  </r>
  <r>
    <s v="Brasil"/>
    <s v="Outros serviços"/>
    <n v="106.62"/>
    <n v="105.35592"/>
    <d v="2011-10-01T00:00:00"/>
    <x v="9"/>
    <x v="0"/>
  </r>
  <r>
    <s v="Brasil"/>
    <s v="Outros serviços"/>
    <n v="106.89"/>
    <n v="105.20918"/>
    <d v="2011-11-01T00:00:00"/>
    <x v="10"/>
    <x v="0"/>
  </r>
  <r>
    <s v="Brasil"/>
    <s v="Outros serviços"/>
    <n v="106.41"/>
    <n v="116.20593"/>
    <d v="2011-12-01T00:00:00"/>
    <x v="11"/>
    <x v="0"/>
  </r>
  <r>
    <s v="Brasil"/>
    <s v="Outros serviços"/>
    <n v="113.16"/>
    <n v="110.64773"/>
    <d v="2012-01-01T00:00:00"/>
    <x v="0"/>
    <x v="1"/>
  </r>
  <r>
    <s v="Brasil"/>
    <s v="Outros serviços"/>
    <n v="107.75"/>
    <n v="104.71664"/>
    <d v="2012-02-01T00:00:00"/>
    <x v="1"/>
    <x v="1"/>
  </r>
  <r>
    <s v="Brasil"/>
    <s v="Outros serviços"/>
    <n v="109.87"/>
    <n v="110.35917000000001"/>
    <d v="2012-03-01T00:00:00"/>
    <x v="2"/>
    <x v="1"/>
  </r>
  <r>
    <s v="Brasil"/>
    <s v="Outros serviços"/>
    <n v="108.77"/>
    <n v="106.90689999999999"/>
    <d v="2012-04-01T00:00:00"/>
    <x v="3"/>
    <x v="1"/>
  </r>
  <r>
    <s v="Brasil"/>
    <s v="Outros serviços"/>
    <n v="110.08"/>
    <n v="112.79971"/>
    <d v="2012-05-01T00:00:00"/>
    <x v="4"/>
    <x v="1"/>
  </r>
  <r>
    <s v="Brasil"/>
    <s v="Outros serviços"/>
    <n v="110.22"/>
    <n v="107.90127"/>
    <d v="2012-06-01T00:00:00"/>
    <x v="5"/>
    <x v="1"/>
  </r>
  <r>
    <s v="Brasil"/>
    <s v="Outros serviços"/>
    <n v="111.66"/>
    <n v="110.18733"/>
    <d v="2012-07-01T00:00:00"/>
    <x v="6"/>
    <x v="1"/>
  </r>
  <r>
    <s v="Brasil"/>
    <s v="Outros serviços"/>
    <n v="107.21"/>
    <n v="109.86085"/>
    <d v="2012-08-01T00:00:00"/>
    <x v="7"/>
    <x v="1"/>
  </r>
  <r>
    <s v="Brasil"/>
    <s v="Outros serviços"/>
    <n v="108.47"/>
    <n v="107.68734000000001"/>
    <d v="2012-09-01T00:00:00"/>
    <x v="8"/>
    <x v="1"/>
  </r>
  <r>
    <s v="Brasil"/>
    <s v="Outros serviços"/>
    <n v="105.71"/>
    <n v="107.52204"/>
    <d v="2012-10-01T00:00:00"/>
    <x v="9"/>
    <x v="1"/>
  </r>
  <r>
    <s v="Brasil"/>
    <s v="Outros serviços"/>
    <n v="104.67"/>
    <n v="102.44880999999999"/>
    <d v="2012-11-01T00:00:00"/>
    <x v="10"/>
    <x v="1"/>
  </r>
  <r>
    <s v="Brasil"/>
    <s v="Outros serviços"/>
    <n v="109.35"/>
    <n v="118.41284"/>
    <d v="2012-12-01T00:00:00"/>
    <x v="11"/>
    <x v="1"/>
  </r>
  <r>
    <s v="Brasil"/>
    <s v="Outros serviços"/>
    <n v="107.11"/>
    <n v="105.89988"/>
    <d v="2013-01-01T00:00:00"/>
    <x v="0"/>
    <x v="2"/>
  </r>
  <r>
    <s v="Brasil"/>
    <s v="Outros serviços"/>
    <n v="109.08"/>
    <n v="101.54591000000001"/>
    <d v="2013-02-01T00:00:00"/>
    <x v="1"/>
    <x v="2"/>
  </r>
  <r>
    <s v="Brasil"/>
    <s v="Outros serviços"/>
    <n v="106.78"/>
    <n v="105.16621000000001"/>
    <d v="2013-03-01T00:00:00"/>
    <x v="2"/>
    <x v="2"/>
  </r>
  <r>
    <s v="Brasil"/>
    <s v="Outros serviços"/>
    <n v="106.1"/>
    <n v="106.81605999999999"/>
    <d v="2013-04-01T00:00:00"/>
    <x v="3"/>
    <x v="2"/>
  </r>
  <r>
    <s v="Brasil"/>
    <s v="Outros serviços"/>
    <n v="105.76"/>
    <n v="106.80919"/>
    <d v="2013-05-01T00:00:00"/>
    <x v="4"/>
    <x v="2"/>
  </r>
  <r>
    <s v="Brasil"/>
    <s v="Outros serviços"/>
    <n v="112.85"/>
    <n v="110.30513999999999"/>
    <d v="2013-06-01T00:00:00"/>
    <x v="5"/>
    <x v="2"/>
  </r>
  <r>
    <s v="Brasil"/>
    <s v="Outros serviços"/>
    <n v="103.68"/>
    <n v="103.47714999999999"/>
    <d v="2013-07-01T00:00:00"/>
    <x v="6"/>
    <x v="2"/>
  </r>
  <r>
    <s v="Brasil"/>
    <s v="Outros serviços"/>
    <n v="104.28"/>
    <n v="105.15303"/>
    <d v="2013-08-01T00:00:00"/>
    <x v="7"/>
    <x v="2"/>
  </r>
  <r>
    <s v="Brasil"/>
    <s v="Outros serviços"/>
    <n v="106.02"/>
    <n v="106.20072"/>
    <d v="2013-09-01T00:00:00"/>
    <x v="8"/>
    <x v="2"/>
  </r>
  <r>
    <s v="Brasil"/>
    <s v="Outros serviços"/>
    <n v="106.16"/>
    <n v="108.57848"/>
    <d v="2013-10-01T00:00:00"/>
    <x v="9"/>
    <x v="2"/>
  </r>
  <r>
    <s v="Brasil"/>
    <s v="Outros serviços"/>
    <n v="105.28"/>
    <n v="103.0262"/>
    <d v="2013-11-01T00:00:00"/>
    <x v="10"/>
    <x v="2"/>
  </r>
  <r>
    <s v="Brasil"/>
    <s v="Outros serviços"/>
    <n v="105.57"/>
    <n v="115.9367"/>
    <d v="2013-12-01T00:00:00"/>
    <x v="11"/>
    <x v="2"/>
  </r>
  <r>
    <s v="Brasil"/>
    <s v="Outros serviços"/>
    <n v="106.48"/>
    <n v="104.45001000000001"/>
    <d v="2014-01-01T00:00:00"/>
    <x v="0"/>
    <x v="3"/>
  </r>
  <r>
    <s v="Brasil"/>
    <s v="Outros serviços"/>
    <n v="104.08"/>
    <n v="99.91234"/>
    <d v="2014-02-01T00:00:00"/>
    <x v="1"/>
    <x v="3"/>
  </r>
  <r>
    <s v="Brasil"/>
    <s v="Outros serviços"/>
    <n v="104"/>
    <n v="99.743080000000006"/>
    <d v="2014-03-01T00:00:00"/>
    <x v="2"/>
    <x v="3"/>
  </r>
  <r>
    <s v="Brasil"/>
    <s v="Outros serviços"/>
    <n v="107.13"/>
    <n v="107.55127"/>
    <d v="2014-04-01T00:00:00"/>
    <x v="3"/>
    <x v="3"/>
  </r>
  <r>
    <s v="Brasil"/>
    <s v="Outros serviços"/>
    <n v="103.73"/>
    <n v="103.66153"/>
    <d v="2014-05-01T00:00:00"/>
    <x v="4"/>
    <x v="3"/>
  </r>
  <r>
    <s v="Brasil"/>
    <s v="Outros serviços"/>
    <n v="104.52"/>
    <n v="102.1163"/>
    <d v="2014-06-01T00:00:00"/>
    <x v="5"/>
    <x v="3"/>
  </r>
  <r>
    <s v="Brasil"/>
    <s v="Outros serviços"/>
    <n v="103.63"/>
    <n v="103.21561"/>
    <d v="2014-07-01T00:00:00"/>
    <x v="6"/>
    <x v="3"/>
  </r>
  <r>
    <s v="Brasil"/>
    <s v="Outros serviços"/>
    <n v="107.22"/>
    <n v="107.09969"/>
    <d v="2014-08-01T00:00:00"/>
    <x v="7"/>
    <x v="3"/>
  </r>
  <r>
    <s v="Brasil"/>
    <s v="Outros serviços"/>
    <n v="105.02"/>
    <n v="106.49545000000001"/>
    <d v="2014-09-01T00:00:00"/>
    <x v="8"/>
    <x v="3"/>
  </r>
  <r>
    <s v="Brasil"/>
    <s v="Outros serviços"/>
    <n v="108.43"/>
    <n v="111.32777"/>
    <d v="2014-10-01T00:00:00"/>
    <x v="9"/>
    <x v="3"/>
  </r>
  <r>
    <s v="Brasil"/>
    <s v="Outros serviços"/>
    <n v="103.3"/>
    <n v="100.96921"/>
    <d v="2014-11-01T00:00:00"/>
    <x v="10"/>
    <x v="3"/>
  </r>
  <r>
    <s v="Brasil"/>
    <s v="Outros serviços"/>
    <n v="98.9"/>
    <n v="110.44479"/>
    <d v="2014-12-01T00:00:00"/>
    <x v="11"/>
    <x v="3"/>
  </r>
  <r>
    <s v="Brasil"/>
    <s v="Outros serviços"/>
    <n v="99.38"/>
    <n v="95.612750000000005"/>
    <d v="2015-01-01T00:00:00"/>
    <x v="0"/>
    <x v="4"/>
  </r>
  <r>
    <s v="Brasil"/>
    <s v="Outros serviços"/>
    <n v="98.4"/>
    <n v="91.45823"/>
    <d v="2015-02-01T00:00:00"/>
    <x v="1"/>
    <x v="4"/>
  </r>
  <r>
    <s v="Brasil"/>
    <s v="Outros serviços"/>
    <n v="97.22"/>
    <n v="97.058310000000006"/>
    <d v="2015-03-01T00:00:00"/>
    <x v="2"/>
    <x v="4"/>
  </r>
  <r>
    <s v="Brasil"/>
    <s v="Outros serviços"/>
    <n v="97"/>
    <n v="96.884979999999999"/>
    <d v="2015-04-01T00:00:00"/>
    <x v="3"/>
    <x v="4"/>
  </r>
  <r>
    <s v="Brasil"/>
    <s v="Outros serviços"/>
    <n v="97.16"/>
    <n v="96.02758"/>
    <d v="2015-05-01T00:00:00"/>
    <x v="4"/>
    <x v="4"/>
  </r>
  <r>
    <s v="Brasil"/>
    <s v="Outros serviços"/>
    <n v="95.8"/>
    <n v="94.75421"/>
    <d v="2015-06-01T00:00:00"/>
    <x v="5"/>
    <x v="4"/>
  </r>
  <r>
    <s v="Brasil"/>
    <s v="Outros serviços"/>
    <n v="94.86"/>
    <n v="94.075410000000005"/>
    <d v="2015-07-01T00:00:00"/>
    <x v="6"/>
    <x v="4"/>
  </r>
  <r>
    <s v="Brasil"/>
    <s v="Outros serviços"/>
    <n v="94.18"/>
    <n v="93.651610000000005"/>
    <d v="2015-08-01T00:00:00"/>
    <x v="7"/>
    <x v="4"/>
  </r>
  <r>
    <s v="Brasil"/>
    <s v="Outros serviços"/>
    <n v="94"/>
    <n v="95.957920000000001"/>
    <d v="2015-09-01T00:00:00"/>
    <x v="8"/>
    <x v="4"/>
  </r>
  <r>
    <s v="Brasil"/>
    <s v="Outros serviços"/>
    <n v="94.4"/>
    <n v="95.960819999999998"/>
    <d v="2015-10-01T00:00:00"/>
    <x v="9"/>
    <x v="4"/>
  </r>
  <r>
    <s v="Brasil"/>
    <s v="Outros serviços"/>
    <n v="94.1"/>
    <n v="93.229190000000003"/>
    <d v="2015-11-01T00:00:00"/>
    <x v="10"/>
    <x v="4"/>
  </r>
  <r>
    <s v="Brasil"/>
    <s v="Outros serviços"/>
    <n v="88.44"/>
    <n v="99.104069999999993"/>
    <d v="2015-12-01T00:00:00"/>
    <x v="11"/>
    <x v="4"/>
  </r>
  <r>
    <s v="Brasil"/>
    <s v="Outros serviços"/>
    <n v="92.26"/>
    <n v="88.021780000000007"/>
    <d v="2016-01-01T00:00:00"/>
    <x v="0"/>
    <x v="5"/>
  </r>
  <r>
    <s v="Brasil"/>
    <s v="Outros serviços"/>
    <n v="89.33"/>
    <n v="85.904430000000005"/>
    <d v="2016-02-01T00:00:00"/>
    <x v="1"/>
    <x v="5"/>
  </r>
  <r>
    <s v="Brasil"/>
    <s v="Outros serviços"/>
    <n v="99.32"/>
    <n v="99.507549999999995"/>
    <d v="2016-03-01T00:00:00"/>
    <x v="2"/>
    <x v="5"/>
  </r>
  <r>
    <s v="Brasil"/>
    <s v="Outros serviços"/>
    <n v="94.73"/>
    <n v="93.688289999999995"/>
    <d v="2016-04-01T00:00:00"/>
    <x v="3"/>
    <x v="5"/>
  </r>
  <r>
    <s v="Brasil"/>
    <s v="Outros serviços"/>
    <n v="92.52"/>
    <n v="90.072190000000006"/>
    <d v="2016-05-01T00:00:00"/>
    <x v="4"/>
    <x v="5"/>
  </r>
  <r>
    <s v="Brasil"/>
    <s v="Outros serviços"/>
    <n v="90.93"/>
    <n v="92.718019999999996"/>
    <d v="2016-06-01T00:00:00"/>
    <x v="5"/>
    <x v="5"/>
  </r>
  <r>
    <s v="Brasil"/>
    <s v="Outros serviços"/>
    <n v="95.99"/>
    <n v="93.313739999999996"/>
    <d v="2016-07-01T00:00:00"/>
    <x v="6"/>
    <x v="5"/>
  </r>
  <r>
    <s v="Brasil"/>
    <s v="Outros serviços"/>
    <n v="91.79"/>
    <n v="93.355029999999999"/>
    <d v="2016-08-01T00:00:00"/>
    <x v="7"/>
    <x v="5"/>
  </r>
  <r>
    <s v="Brasil"/>
    <s v="Outros serviços"/>
    <n v="90.42"/>
    <n v="91.266480000000001"/>
    <d v="2016-09-01T00:00:00"/>
    <x v="8"/>
    <x v="5"/>
  </r>
  <r>
    <s v="Brasil"/>
    <s v="Outros serviços"/>
    <n v="90.89"/>
    <n v="91.650229999999993"/>
    <d v="2016-10-01T00:00:00"/>
    <x v="9"/>
    <x v="5"/>
  </r>
  <r>
    <s v="Brasil"/>
    <s v="Outros serviços"/>
    <n v="92.08"/>
    <n v="92.991209999999995"/>
    <d v="2016-11-01T00:00:00"/>
    <x v="10"/>
    <x v="5"/>
  </r>
  <r>
    <s v="Brasil"/>
    <s v="Outros serviços"/>
    <n v="90.24"/>
    <n v="99.724789999999999"/>
    <d v="2016-12-01T00:00:00"/>
    <x v="11"/>
    <x v="5"/>
  </r>
  <r>
    <s v="Brasil"/>
    <s v="Outros serviços"/>
    <n v="85.84"/>
    <n v="82.985439999999997"/>
    <d v="2017-01-01T00:00:00"/>
    <x v="0"/>
    <x v="6"/>
  </r>
  <r>
    <s v="Brasil"/>
    <s v="Outros serviços"/>
    <n v="85.8"/>
    <n v="79.558899999999994"/>
    <d v="2017-02-01T00:00:00"/>
    <x v="1"/>
    <x v="6"/>
  </r>
  <r>
    <s v="Brasil"/>
    <s v="Outros serviços"/>
    <n v="83.98"/>
    <n v="84.844309999999993"/>
    <d v="2017-03-01T00:00:00"/>
    <x v="2"/>
    <x v="6"/>
  </r>
  <r>
    <s v="Brasil"/>
    <s v="Outros serviços"/>
    <n v="80.989999999999995"/>
    <n v="78.158280000000005"/>
    <d v="2017-04-01T00:00:00"/>
    <x v="3"/>
    <x v="6"/>
  </r>
  <r>
    <s v="Brasil"/>
    <s v="Outros serviços"/>
    <n v="83.68"/>
    <n v="84.511970000000005"/>
    <d v="2017-05-01T00:00:00"/>
    <x v="4"/>
    <x v="6"/>
  </r>
  <r>
    <s v="Brasil"/>
    <s v="Outros serviços"/>
    <n v="84.84"/>
    <n v="84.254320000000007"/>
    <d v="2017-06-01T00:00:00"/>
    <x v="5"/>
    <x v="6"/>
  </r>
  <r>
    <s v="Brasil"/>
    <s v="Outros serviços"/>
    <n v="84.77"/>
    <n v="82.635249999999999"/>
    <d v="2017-07-01T00:00:00"/>
    <x v="6"/>
    <x v="6"/>
  </r>
  <r>
    <s v="Brasil"/>
    <s v="Outros serviços"/>
    <n v="84.04"/>
    <n v="85.282820000000001"/>
    <d v="2017-08-01T00:00:00"/>
    <x v="7"/>
    <x v="6"/>
  </r>
  <r>
    <s v="Brasil"/>
    <s v="Outros serviços"/>
    <n v="86.04"/>
    <n v="86.031790000000001"/>
    <d v="2017-09-01T00:00:00"/>
    <x v="8"/>
    <x v="6"/>
  </r>
  <r>
    <s v="Brasil"/>
    <s v="Outros serviços"/>
    <n v="85.72"/>
    <n v="87.064350000000005"/>
    <d v="2017-10-01T00:00:00"/>
    <x v="9"/>
    <x v="6"/>
  </r>
  <r>
    <s v="Brasil"/>
    <s v="Outros serviços"/>
    <n v="83.37"/>
    <n v="83.673450000000003"/>
    <d v="2017-11-01T00:00:00"/>
    <x v="10"/>
    <x v="6"/>
  </r>
  <r>
    <s v="Brasil"/>
    <s v="Outros serviços"/>
    <n v="85.4"/>
    <n v="94.21387"/>
    <d v="2017-12-01T00:00:00"/>
    <x v="11"/>
    <x v="6"/>
  </r>
  <r>
    <s v="Brasil"/>
    <s v="Outros serviços"/>
    <n v="85.57"/>
    <n v="84.324659999999994"/>
    <d v="2018-01-01T00:00:00"/>
    <x v="0"/>
    <x v="7"/>
  </r>
  <r>
    <s v="Brasil"/>
    <s v="Outros serviços"/>
    <n v="87.36"/>
    <n v="80.883769999999998"/>
    <d v="2018-02-01T00:00:00"/>
    <x v="1"/>
    <x v="7"/>
  </r>
  <r>
    <s v="Brasil"/>
    <s v="Outros serviços"/>
    <n v="87.98"/>
    <n v="86.733750000000001"/>
    <d v="2018-03-01T00:00:00"/>
    <x v="2"/>
    <x v="7"/>
  </r>
  <r>
    <s v="Brasil"/>
    <s v="Outros serviços"/>
    <n v="87.57"/>
    <n v="85.372370000000004"/>
    <d v="2018-04-01T00:00:00"/>
    <x v="3"/>
    <x v="7"/>
  </r>
  <r>
    <s v="Brasil"/>
    <s v="Outros serviços"/>
    <n v="82.32"/>
    <n v="83.115409999999997"/>
    <d v="2018-05-01T00:00:00"/>
    <x v="4"/>
    <x v="7"/>
  </r>
  <r>
    <s v="Brasil"/>
    <s v="Outros serviços"/>
    <n v="87.97"/>
    <n v="87.045969999999997"/>
    <d v="2018-06-01T00:00:00"/>
    <x v="5"/>
    <x v="7"/>
  </r>
  <r>
    <s v="Brasil"/>
    <s v="Outros serviços"/>
    <n v="84.07"/>
    <n v="83.467870000000005"/>
    <d v="2018-07-01T00:00:00"/>
    <x v="6"/>
    <x v="7"/>
  </r>
  <r>
    <s v="Brasil"/>
    <s v="Outros serviços"/>
    <n v="85.36"/>
    <n v="86.348519999999994"/>
    <d v="2018-08-01T00:00:00"/>
    <x v="7"/>
    <x v="7"/>
  </r>
  <r>
    <s v="Brasil"/>
    <s v="Outros serviços"/>
    <n v="83.18"/>
    <n v="82.49006"/>
    <d v="2018-09-01T00:00:00"/>
    <x v="8"/>
    <x v="7"/>
  </r>
  <r>
    <s v="Brasil"/>
    <s v="Outros serviços"/>
    <n v="87.26"/>
    <n v="89.261719999999997"/>
    <d v="2018-10-01T00:00:00"/>
    <x v="9"/>
    <x v="7"/>
  </r>
  <r>
    <s v="Brasil"/>
    <s v="Outros serviços"/>
    <n v="87.65"/>
    <n v="86.857709999999997"/>
    <d v="2018-11-01T00:00:00"/>
    <x v="10"/>
    <x v="7"/>
  </r>
  <r>
    <s v="Brasil"/>
    <s v="Outros serviços"/>
    <n v="87.24"/>
    <n v="96.487870000000001"/>
    <d v="2018-12-01T00:00:00"/>
    <x v="11"/>
    <x v="7"/>
  </r>
  <r>
    <s v="Brasil"/>
    <s v="Outros serviços"/>
    <n v="89.82"/>
    <n v="89.125680000000003"/>
    <d v="2019-01-01T00:00:00"/>
    <x v="0"/>
    <x v="8"/>
  </r>
  <r>
    <s v="Brasil"/>
    <s v="Outros serviços"/>
    <n v="88.56"/>
    <n v="85.316680000000005"/>
    <d v="2019-02-01T00:00:00"/>
    <x v="1"/>
    <x v="8"/>
  </r>
  <r>
    <s v="Brasil"/>
    <s v="Outros serviços"/>
    <n v="90.38"/>
    <n v="85.676050000000004"/>
    <d v="2019-03-01T00:00:00"/>
    <x v="2"/>
    <x v="8"/>
  </r>
  <r>
    <s v="Brasil"/>
    <s v="Outros serviços"/>
    <n v="88.79"/>
    <n v="86.233729999999994"/>
    <d v="2019-04-01T00:00:00"/>
    <x v="3"/>
    <x v="8"/>
  </r>
  <r>
    <s v="Brasil"/>
    <s v="Outros serviços"/>
    <n v="90.06"/>
    <n v="90.638170000000002"/>
    <d v="2019-05-01T00:00:00"/>
    <x v="4"/>
    <x v="8"/>
  </r>
  <r>
    <s v="Brasil"/>
    <s v="Outros serviços"/>
    <n v="89.09"/>
    <n v="87.786540000000002"/>
    <d v="2019-06-01T00:00:00"/>
    <x v="5"/>
    <x v="8"/>
  </r>
  <r>
    <s v="Brasil"/>
    <s v="Outros serviços"/>
    <n v="91.02"/>
    <n v="92.123639999999995"/>
    <d v="2019-07-01T00:00:00"/>
    <x v="6"/>
    <x v="8"/>
  </r>
  <r>
    <s v="Brasil"/>
    <s v="Outros serviços"/>
    <n v="91.28"/>
    <n v="91.267160000000004"/>
    <d v="2019-08-01T00:00:00"/>
    <x v="7"/>
    <x v="8"/>
  </r>
  <r>
    <s v="Brasil"/>
    <s v="Outros serviços"/>
    <n v="91.66"/>
    <n v="91.594740000000002"/>
    <d v="2019-09-01T00:00:00"/>
    <x v="8"/>
    <x v="8"/>
  </r>
  <r>
    <s v="Brasil"/>
    <s v="Outros serviços"/>
    <n v="91.5"/>
    <n v="93.045389999999998"/>
    <d v="2019-10-01T00:00:00"/>
    <x v="9"/>
    <x v="8"/>
  </r>
  <r>
    <s v="Brasil"/>
    <s v="Outros serviços"/>
    <n v="94.83"/>
    <n v="92.608220000000003"/>
    <d v="2019-11-01T00:00:00"/>
    <x v="10"/>
    <x v="8"/>
  </r>
  <r>
    <s v="Brasil"/>
    <s v="Outros serviços"/>
    <n v="96.02"/>
    <n v="107.55343000000001"/>
    <d v="2019-12-01T00:00:00"/>
    <x v="11"/>
    <x v="8"/>
  </r>
  <r>
    <s v="Brasil"/>
    <s v="Outros serviços"/>
    <n v="98.29"/>
    <n v="97.78922"/>
    <d v="2020-01-01T00:00:00"/>
    <x v="0"/>
    <x v="9"/>
  </r>
  <r>
    <s v="Brasil"/>
    <s v="Outros serviços"/>
    <n v="98.32"/>
    <n v="93.215249999999997"/>
    <d v="2020-02-01T00:00:00"/>
    <x v="1"/>
    <x v="9"/>
  </r>
  <r>
    <s v="Brasil"/>
    <s v="Outros serviços"/>
    <n v="97.89"/>
    <n v="97.671930000000003"/>
    <d v="2020-03-01T00:00:00"/>
    <x v="2"/>
    <x v="9"/>
  </r>
  <r>
    <s v="Brasil"/>
    <s v="Outros serviços"/>
    <n v="89.61"/>
    <n v="86.897989999999993"/>
    <d v="2020-04-01T00:00:00"/>
    <x v="3"/>
    <x v="9"/>
  </r>
  <r>
    <s v="Brasil"/>
    <s v="Outros serviços"/>
    <n v="85.22"/>
    <n v="84.021209999999996"/>
    <d v="2020-05-01T00:00:00"/>
    <x v="4"/>
    <x v="9"/>
  </r>
  <r>
    <s v="Brasil"/>
    <s v="Outros serviços"/>
    <n v="90.78"/>
    <n v="91.410989999999998"/>
    <d v="2020-06-01T00:00:00"/>
    <x v="5"/>
    <x v="9"/>
  </r>
  <r>
    <s v="Brasil"/>
    <s v="Outros serviços"/>
    <n v="94.74"/>
    <n v="96.293319999999994"/>
    <d v="2020-07-01T00:00:00"/>
    <x v="6"/>
    <x v="9"/>
  </r>
  <r>
    <s v="Brasil"/>
    <s v="Outros serviços"/>
    <n v="98.15"/>
    <n v="97.722499999999997"/>
    <d v="2020-08-01T00:00:00"/>
    <x v="7"/>
    <x v="9"/>
  </r>
  <r>
    <s v="Brasil"/>
    <s v="Outros serviços"/>
    <n v="102.08"/>
    <n v="103.673"/>
    <d v="2020-09-01T00:00:00"/>
    <x v="8"/>
    <x v="9"/>
  </r>
  <r>
    <s v="Brasil"/>
    <s v="Outros serviços"/>
    <n v="101.7"/>
    <n v="101.00821999999999"/>
    <d v="2020-10-01T00:00:00"/>
    <x v="9"/>
    <x v="9"/>
  </r>
  <r>
    <s v="Brasil"/>
    <s v="Outros serviços"/>
    <n v="102.22"/>
    <n v="99.344080000000005"/>
    <d v="2020-11-01T00:00:00"/>
    <x v="10"/>
    <x v="9"/>
  </r>
  <r>
    <s v="Brasil"/>
    <s v="Outros serviços"/>
    <n v="103.83"/>
    <n v="117.91981"/>
    <d v="2020-12-01T00:00:00"/>
    <x v="11"/>
    <x v="9"/>
  </r>
  <r>
    <s v="Brasil"/>
    <s v="Outros serviços"/>
    <n v="97.29"/>
    <n v="94.915999999999997"/>
    <d v="2021-01-01T00:00:00"/>
    <x v="0"/>
    <x v="10"/>
  </r>
  <r>
    <s v="Brasil"/>
    <s v="Outros serviços"/>
    <n v="102.42"/>
    <n v="94.352519999999998"/>
    <d v="2021-02-01T00:00:00"/>
    <x v="1"/>
    <x v="10"/>
  </r>
  <r>
    <s v="Brasil"/>
    <s v="Outros serviços"/>
    <n v="102.99"/>
    <n v="104.15873999999999"/>
    <d v="2021-03-01T00:00:00"/>
    <x v="2"/>
    <x v="10"/>
  </r>
  <r>
    <s v="Brasil"/>
    <s v="Outros serviços"/>
    <n v="105.62"/>
    <n v="101.70747"/>
    <d v="2021-04-01T00:00:00"/>
    <x v="3"/>
    <x v="10"/>
  </r>
  <r>
    <s v="Brasil"/>
    <s v="Outros serviços"/>
    <n v="104.19"/>
    <n v="102.65295999999999"/>
    <d v="2021-05-01T00:00:00"/>
    <x v="4"/>
    <x v="10"/>
  </r>
  <r>
    <s v="Brasil"/>
    <s v="Outros serviços"/>
    <n v="103.94"/>
    <n v="105.57362999999999"/>
    <d v="2021-06-01T00:00:00"/>
    <x v="5"/>
    <x v="10"/>
  </r>
  <r>
    <s v="Brasil"/>
    <s v="Outros serviços"/>
    <n v="106.39"/>
    <n v="106.98779"/>
    <d v="2021-07-01T00:00:00"/>
    <x v="6"/>
    <x v="10"/>
  </r>
  <r>
    <s v="Brasil"/>
    <s v="Outros serviços"/>
    <n v="107.7"/>
    <n v="109.08916000000001"/>
    <d v="2021-08-01T00:00:00"/>
    <x v="7"/>
    <x v="10"/>
  </r>
  <r>
    <s v="Brasil"/>
    <s v="Outros serviços"/>
    <n v="101.17"/>
    <n v="102.05922"/>
    <d v="2021-09-01T00:00:00"/>
    <x v="8"/>
    <x v="10"/>
  </r>
  <r>
    <s v="Brasil"/>
    <s v="Outros serviços"/>
    <n v="96.55"/>
    <n v="94.795330000000007"/>
    <d v="2021-10-01T00:00:00"/>
    <x v="9"/>
    <x v="10"/>
  </r>
  <r>
    <s v="Brasil"/>
    <s v="Outros serviços"/>
    <n v="98.09"/>
    <n v="96.37133"/>
    <d v="2021-11-01T00:00:00"/>
    <x v="10"/>
    <x v="10"/>
  </r>
  <r>
    <s v="Brasil"/>
    <s v="Outros serviços"/>
    <n v="99.44"/>
    <n v="112.52616"/>
    <d v="2021-12-01T00:00:00"/>
    <x v="11"/>
    <x v="10"/>
  </r>
  <r>
    <s v="Brasil"/>
    <s v="Outros serviços"/>
    <n v="98.99"/>
    <n v="96.16328"/>
    <d v="2022-01-01T00:00:00"/>
    <x v="0"/>
    <x v="11"/>
  </r>
  <r>
    <s v="Brasil"/>
    <s v="Outros serviços"/>
    <n v="98.43"/>
    <n v="90.716880000000003"/>
    <d v="2022-02-01T00:00:00"/>
    <x v="1"/>
    <x v="11"/>
  </r>
  <r>
    <s v="Brasil"/>
    <s v="Outros serviços"/>
    <n v="98.28"/>
    <n v="99.529690000000002"/>
    <d v="2022-03-01T00:00:00"/>
    <x v="2"/>
    <x v="11"/>
  </r>
  <r>
    <s v="Brasil"/>
    <s v="Outros serviços"/>
    <n v="96.76"/>
    <n v="92.319749999999999"/>
    <d v="2022-04-01T00:00:00"/>
    <x v="3"/>
    <x v="11"/>
  </r>
  <r>
    <s v="Brasil"/>
    <s v="Outros serviços"/>
    <n v="98.8"/>
    <n v="98.671080000000003"/>
    <d v="2022-05-01T00:00:00"/>
    <x v="4"/>
    <x v="11"/>
  </r>
  <r>
    <s v="Brasil"/>
    <s v="Outros serviços"/>
    <n v="99.45"/>
    <n v="100.67619999999999"/>
    <d v="2022-06-01T00:00:00"/>
    <x v="5"/>
    <x v="11"/>
  </r>
  <r>
    <s v="Brasil"/>
    <s v="Outros serviços"/>
    <n v="94.02"/>
    <n v="94.086650000000006"/>
    <d v="2022-07-01T00:00:00"/>
    <x v="6"/>
    <x v="11"/>
  </r>
  <r>
    <s v="Brasil"/>
    <s v="Outros serviços"/>
    <n v="103.31"/>
    <n v="106.58335"/>
    <d v="2022-08-01T00:00:00"/>
    <x v="7"/>
    <x v="11"/>
  </r>
  <r>
    <s v="Brasil"/>
    <s v="Outros serviços"/>
    <n v="99.85"/>
    <n v="99.823139999999995"/>
    <d v="2022-09-01T00:00:00"/>
    <x v="8"/>
    <x v="11"/>
  </r>
  <r>
    <s v="Brasil"/>
    <s v="Outros serviços"/>
    <n v="103.17"/>
    <n v="100.88488"/>
    <d v="2022-10-01T00:00:00"/>
    <x v="9"/>
    <x v="11"/>
  </r>
  <r>
    <s v="Brasil"/>
    <s v="Outros serviços"/>
    <n v="97.56"/>
    <n v="96.647999999999996"/>
    <d v="2022-11-01T00:00:00"/>
    <x v="10"/>
    <x v="11"/>
  </r>
  <r>
    <s v="Brasil"/>
    <s v="Outros serviços"/>
    <n v="111.34"/>
    <n v="123.89708"/>
    <d v="2022-12-01T00:00:00"/>
    <x v="11"/>
    <x v="11"/>
  </r>
  <r>
    <s v="Brasil"/>
    <s v="Outros serviços"/>
    <n v="98.75"/>
    <n v="96.669920000000005"/>
    <d v="2023-01-01T00:00:00"/>
    <x v="0"/>
    <x v="12"/>
  </r>
  <r>
    <s v="Brasil"/>
    <s v="Outros serviços"/>
    <n v="98.79"/>
    <n v="91.259349999999998"/>
    <d v="2023-02-01T00:00:00"/>
    <x v="1"/>
    <x v="12"/>
  </r>
  <r>
    <s v="Brasil"/>
    <s v="Outros serviços"/>
    <n v="98.86"/>
    <n v="100.10772"/>
    <d v="2023-03-01T00:00:00"/>
    <x v="2"/>
    <x v="12"/>
  </r>
  <r>
    <s v="Brasil"/>
    <s v="Outros serviços"/>
    <n v="96.94"/>
    <n v="91.734459999999999"/>
    <d v="2023-04-01T00:00:00"/>
    <x v="3"/>
    <x v="12"/>
  </r>
  <r>
    <s v="Brasil"/>
    <s v="Outros serviços"/>
    <n v="97.92"/>
    <n v="99.343490000000003"/>
    <d v="2023-05-01T00:00:00"/>
    <x v="4"/>
    <x v="12"/>
  </r>
  <r>
    <s v="Brasil"/>
    <s v="Outros serviços"/>
    <n v="98.47"/>
    <n v="99.170820000000006"/>
    <d v="2023-06-01T00:00:00"/>
    <x v="5"/>
    <x v="12"/>
  </r>
  <r>
    <s v="Brasil"/>
    <s v="Outros serviços"/>
    <n v="98.44"/>
    <n v="98.075209999999998"/>
    <d v="2023-07-01T00:00:00"/>
    <x v="6"/>
    <x v="12"/>
  </r>
  <r>
    <s v="Brasil"/>
    <s v="Outros serviços"/>
    <n v="96.73"/>
    <n v="100.15935"/>
    <d v="2023-08-01T00:00:00"/>
    <x v="7"/>
    <x v="12"/>
  </r>
  <r>
    <s v="Brasil"/>
    <s v="Outros serviços"/>
    <n v="96.25"/>
    <n v="95.206699999999998"/>
    <d v="2023-09-01T00:00:00"/>
    <x v="8"/>
    <x v="12"/>
  </r>
  <r>
    <s v="Brasil"/>
    <s v="Outros serviços"/>
    <n v="97.95"/>
    <n v="96.853200000000001"/>
    <d v="2023-10-01T00:00:00"/>
    <x v="9"/>
    <x v="12"/>
  </r>
  <r>
    <s v="Brasil"/>
    <s v="Outros serviços"/>
    <n v="100.94"/>
    <n v="99.849559999999997"/>
    <d v="2023-11-01T00:00:00"/>
    <x v="10"/>
    <x v="12"/>
  </r>
  <r>
    <s v="Brasil"/>
    <s v="Outros serviços"/>
    <n v="100.3"/>
    <n v="110.48882"/>
    <d v="2023-12-01T00:00:00"/>
    <x v="11"/>
    <x v="12"/>
  </r>
  <r>
    <s v="Brasil"/>
    <s v="Outros serviços"/>
    <n v="99.42"/>
    <n v="98.326719999999995"/>
    <d v="2024-01-01T00:00:00"/>
    <x v="0"/>
    <x v="13"/>
  </r>
  <r>
    <s v="Brasil"/>
    <s v="Outros serviços"/>
    <n v="98.54"/>
    <n v="94.600719999999995"/>
    <d v="2024-02-01T00:00:00"/>
    <x v="1"/>
    <x v="13"/>
  </r>
  <r>
    <s v="Brasil"/>
    <s v="Outros serviços"/>
    <n v="99.15"/>
    <n v="97.669409999999999"/>
    <d v="2024-03-01T00:00:00"/>
    <x v="2"/>
    <x v="13"/>
  </r>
  <r>
    <s v="Brasil"/>
    <s v="Outros serviços"/>
    <n v="101.49"/>
    <n v="98.792919999999995"/>
    <d v="2024-04-01T00:00:00"/>
    <x v="3"/>
    <x v="13"/>
  </r>
  <r>
    <s v="Brasil"/>
    <s v="Outros serviços"/>
    <n v="98.96"/>
    <n v="99.549260000000004"/>
    <d v="2024-05-01T00:00:00"/>
    <x v="4"/>
    <x v="13"/>
  </r>
  <r>
    <s v="Brasil"/>
    <s v="Outros serviços"/>
    <n v="98.42"/>
    <n v="98.248459999999994"/>
    <d v="2024-06-01T00:00:00"/>
    <x v="5"/>
    <x v="13"/>
  </r>
  <r>
    <s v="Brasil"/>
    <s v="Outros serviços"/>
    <n v="98.14"/>
    <n v="99.983459999999994"/>
    <d v="2024-07-01T00:00:00"/>
    <x v="6"/>
    <x v="13"/>
  </r>
  <r>
    <s v="Brasil"/>
    <s v="Outros serviços"/>
    <n v="99.86"/>
    <n v="101.78443"/>
    <d v="2024-08-01T00:00:00"/>
    <x v="7"/>
    <x v="13"/>
  </r>
  <r>
    <s v="Brasil"/>
    <s v="Outros serviços"/>
    <n v="98.07"/>
    <n v="96.679599999999994"/>
    <d v="2024-09-01T00:00:00"/>
    <x v="8"/>
    <x v="13"/>
  </r>
  <r>
    <s v="Brasil"/>
    <s v="Outros serviços"/>
    <n v="97.04"/>
    <n v="97.252449999999996"/>
    <d v="2024-10-01T00:00:00"/>
    <x v="9"/>
    <x v="13"/>
  </r>
  <r>
    <s v="Brasil"/>
    <s v="Outros serviços"/>
    <n v="98.46"/>
    <n v="96.434719999999999"/>
    <d v="2024-11-01T00:00:00"/>
    <x v="10"/>
    <x v="13"/>
  </r>
  <r>
    <s v="Brasil"/>
    <s v="Outros serviços"/>
    <n v="93.8"/>
    <n v="104.20371"/>
    <d v="2024-12-01T00:00:00"/>
    <x v="11"/>
    <x v="13"/>
  </r>
  <r>
    <s v="Brasil"/>
    <s v="Outros serviços"/>
    <n v="96.76"/>
    <n v="95.29965"/>
    <d v="2025-01-01T00:00:00"/>
    <x v="0"/>
    <x v="14"/>
  </r>
  <r>
    <s v="Brasil"/>
    <s v="Outros serviços"/>
    <n v="99.33"/>
    <n v="95.13503"/>
    <d v="2025-02-01T00:00:00"/>
    <x v="1"/>
    <x v="14"/>
  </r>
  <r>
    <s v="Brasil"/>
    <s v="Outros serviços"/>
    <n v="98.43"/>
    <n v="94.978890000000007"/>
    <d v="2025-03-01T00:00:00"/>
    <x v="2"/>
    <x v="14"/>
  </r>
  <r>
    <s v="Brasil"/>
    <s v="Outros serviços"/>
    <n v="96.43"/>
    <n v="93.776960000000003"/>
    <d v="2025-04-01T00:00:00"/>
    <x v="3"/>
    <x v="14"/>
  </r>
  <r>
    <s v="Brasil"/>
    <s v="Outros serviços"/>
    <n v="98.16"/>
    <n v="98.151740000000004"/>
    <d v="2025-05-01T00:00:00"/>
    <x v="4"/>
    <x v="14"/>
  </r>
  <r>
    <s v="Brasil"/>
    <s v="Outros serviços"/>
    <n v="97.16"/>
    <n v="96.801839999999999"/>
    <d v="2025-06-01T00:00:00"/>
    <x v="5"/>
    <x v="14"/>
  </r>
  <r>
    <s v="Brasil"/>
    <s v="Outros serviços"/>
    <n v="96.88"/>
    <n v="98.340459999999993"/>
    <d v="2025-07-01T00:00:00"/>
    <x v="6"/>
    <x v="14"/>
  </r>
  <r>
    <s v="Brasil"/>
    <s v="Outros serviços"/>
    <n v="97.73"/>
    <n v="99.075410000000005"/>
    <d v="2025-08-01T00:00:00"/>
    <x v="7"/>
    <x v="14"/>
  </r>
  <r>
    <s v="São Paulo"/>
    <s v="Outros serviços"/>
    <n v="106.03"/>
    <n v="106.75623"/>
    <d v="2011-01-01T00:00:00"/>
    <x v="0"/>
    <x v="0"/>
  </r>
  <r>
    <s v="São Paulo"/>
    <s v="Outros serviços"/>
    <n v="104.45"/>
    <n v="102.18034"/>
    <d v="2011-02-01T00:00:00"/>
    <x v="1"/>
    <x v="0"/>
  </r>
  <r>
    <s v="São Paulo"/>
    <s v="Outros serviços"/>
    <n v="107.94"/>
    <n v="105.76854"/>
    <d v="2011-03-01T00:00:00"/>
    <x v="2"/>
    <x v="0"/>
  </r>
  <r>
    <s v="São Paulo"/>
    <s v="Outros serviços"/>
    <n v="105.21"/>
    <n v="102.49615"/>
    <d v="2011-04-01T00:00:00"/>
    <x v="3"/>
    <x v="0"/>
  </r>
  <r>
    <s v="São Paulo"/>
    <s v="Outros serviços"/>
    <n v="106.87"/>
    <n v="108.54499"/>
    <d v="2011-05-01T00:00:00"/>
    <x v="4"/>
    <x v="0"/>
  </r>
  <r>
    <s v="São Paulo"/>
    <s v="Outros serviços"/>
    <n v="105"/>
    <n v="103.01894"/>
    <d v="2011-06-01T00:00:00"/>
    <x v="5"/>
    <x v="0"/>
  </r>
  <r>
    <s v="São Paulo"/>
    <s v="Outros serviços"/>
    <n v="106.25"/>
    <n v="102.27003000000001"/>
    <d v="2011-07-01T00:00:00"/>
    <x v="6"/>
    <x v="0"/>
  </r>
  <r>
    <s v="São Paulo"/>
    <s v="Outros serviços"/>
    <n v="106.52"/>
    <n v="111.31668000000001"/>
    <d v="2011-08-01T00:00:00"/>
    <x v="7"/>
    <x v="0"/>
  </r>
  <r>
    <s v="São Paulo"/>
    <s v="Outros serviços"/>
    <n v="102.25"/>
    <n v="103.48676"/>
    <d v="2011-09-01T00:00:00"/>
    <x v="8"/>
    <x v="0"/>
  </r>
  <r>
    <s v="São Paulo"/>
    <s v="Outros serviços"/>
    <n v="100.04"/>
    <n v="100.59604"/>
    <d v="2011-10-01T00:00:00"/>
    <x v="9"/>
    <x v="0"/>
  </r>
  <r>
    <s v="São Paulo"/>
    <s v="Outros serviços"/>
    <n v="100.63"/>
    <n v="98.213170000000005"/>
    <d v="2011-11-01T00:00:00"/>
    <x v="10"/>
    <x v="0"/>
  </r>
  <r>
    <s v="São Paulo"/>
    <s v="Outros serviços"/>
    <n v="101.35"/>
    <n v="106.12097"/>
    <d v="2011-12-01T00:00:00"/>
    <x v="11"/>
    <x v="0"/>
  </r>
  <r>
    <s v="São Paulo"/>
    <s v="Outros serviços"/>
    <n v="104.33"/>
    <n v="106.45822"/>
    <d v="2012-01-01T00:00:00"/>
    <x v="0"/>
    <x v="1"/>
  </r>
  <r>
    <s v="São Paulo"/>
    <s v="Outros serviços"/>
    <n v="104.22"/>
    <n v="102.77339000000001"/>
    <d v="2012-02-01T00:00:00"/>
    <x v="1"/>
    <x v="1"/>
  </r>
  <r>
    <s v="São Paulo"/>
    <s v="Outros serviços"/>
    <n v="104.33"/>
    <n v="103.43098000000001"/>
    <d v="2012-03-01T00:00:00"/>
    <x v="2"/>
    <x v="1"/>
  </r>
  <r>
    <s v="São Paulo"/>
    <s v="Outros serviços"/>
    <n v="103.44"/>
    <n v="100.87726000000001"/>
    <d v="2012-04-01T00:00:00"/>
    <x v="3"/>
    <x v="1"/>
  </r>
  <r>
    <s v="São Paulo"/>
    <s v="Outros serviços"/>
    <n v="104.21"/>
    <n v="106.46146"/>
    <d v="2012-05-01T00:00:00"/>
    <x v="4"/>
    <x v="1"/>
  </r>
  <r>
    <s v="São Paulo"/>
    <s v="Outros serviços"/>
    <n v="104.33"/>
    <n v="101.78767999999999"/>
    <d v="2012-06-01T00:00:00"/>
    <x v="5"/>
    <x v="1"/>
  </r>
  <r>
    <s v="São Paulo"/>
    <s v="Outros serviços"/>
    <n v="103.77"/>
    <n v="100.70128"/>
    <d v="2012-07-01T00:00:00"/>
    <x v="6"/>
    <x v="1"/>
  </r>
  <r>
    <s v="São Paulo"/>
    <s v="Outros serviços"/>
    <n v="101.18"/>
    <n v="104.69497"/>
    <d v="2012-08-01T00:00:00"/>
    <x v="7"/>
    <x v="1"/>
  </r>
  <r>
    <s v="São Paulo"/>
    <s v="Outros serviços"/>
    <n v="102.93"/>
    <n v="103.70757"/>
    <d v="2012-09-01T00:00:00"/>
    <x v="8"/>
    <x v="1"/>
  </r>
  <r>
    <s v="São Paulo"/>
    <s v="Outros serviços"/>
    <n v="96"/>
    <n v="100.28787"/>
    <d v="2012-10-01T00:00:00"/>
    <x v="9"/>
    <x v="1"/>
  </r>
  <r>
    <s v="São Paulo"/>
    <s v="Outros serviços"/>
    <n v="99.9"/>
    <n v="95.285899999999998"/>
    <d v="2012-11-01T00:00:00"/>
    <x v="10"/>
    <x v="1"/>
  </r>
  <r>
    <s v="São Paulo"/>
    <s v="Outros serviços"/>
    <n v="102.33"/>
    <n v="107.23914000000001"/>
    <d v="2012-12-01T00:00:00"/>
    <x v="11"/>
    <x v="1"/>
  </r>
  <r>
    <s v="São Paulo"/>
    <s v="Outros serviços"/>
    <n v="103.5"/>
    <n v="105.45131000000001"/>
    <d v="2013-01-01T00:00:00"/>
    <x v="0"/>
    <x v="2"/>
  </r>
  <r>
    <s v="São Paulo"/>
    <s v="Outros serviços"/>
    <n v="104.47"/>
    <n v="97.742069999999998"/>
    <d v="2013-02-01T00:00:00"/>
    <x v="1"/>
    <x v="2"/>
  </r>
  <r>
    <s v="São Paulo"/>
    <s v="Outros serviços"/>
    <n v="102.02"/>
    <n v="98.622169999999997"/>
    <d v="2013-03-01T00:00:00"/>
    <x v="2"/>
    <x v="2"/>
  </r>
  <r>
    <s v="São Paulo"/>
    <s v="Outros serviços"/>
    <n v="101.06"/>
    <n v="103.26555"/>
    <d v="2013-04-01T00:00:00"/>
    <x v="3"/>
    <x v="2"/>
  </r>
  <r>
    <s v="São Paulo"/>
    <s v="Outros serviços"/>
    <n v="101.15"/>
    <n v="102.07302"/>
    <d v="2013-05-01T00:00:00"/>
    <x v="4"/>
    <x v="2"/>
  </r>
  <r>
    <s v="São Paulo"/>
    <s v="Outros serviços"/>
    <n v="104.79"/>
    <n v="102.38557"/>
    <d v="2013-06-01T00:00:00"/>
    <x v="5"/>
    <x v="2"/>
  </r>
  <r>
    <s v="São Paulo"/>
    <s v="Outros serviços"/>
    <n v="97.71"/>
    <n v="96.402060000000006"/>
    <d v="2013-07-01T00:00:00"/>
    <x v="6"/>
    <x v="2"/>
  </r>
  <r>
    <s v="São Paulo"/>
    <s v="Outros serviços"/>
    <n v="97.89"/>
    <n v="98.703140000000005"/>
    <d v="2013-08-01T00:00:00"/>
    <x v="7"/>
    <x v="2"/>
  </r>
  <r>
    <s v="São Paulo"/>
    <s v="Outros serviços"/>
    <n v="98.01"/>
    <n v="99.431299999999993"/>
    <d v="2013-09-01T00:00:00"/>
    <x v="8"/>
    <x v="2"/>
  </r>
  <r>
    <s v="São Paulo"/>
    <s v="Outros serviços"/>
    <n v="98.55"/>
    <n v="102.68159"/>
    <d v="2013-10-01T00:00:00"/>
    <x v="9"/>
    <x v="2"/>
  </r>
  <r>
    <s v="São Paulo"/>
    <s v="Outros serviços"/>
    <n v="98.17"/>
    <n v="94.716279999999998"/>
    <d v="2013-11-01T00:00:00"/>
    <x v="10"/>
    <x v="2"/>
  </r>
  <r>
    <s v="São Paulo"/>
    <s v="Outros serviços"/>
    <n v="99.75"/>
    <n v="106.39678000000001"/>
    <d v="2013-12-01T00:00:00"/>
    <x v="11"/>
    <x v="2"/>
  </r>
  <r>
    <s v="São Paulo"/>
    <s v="Outros serviços"/>
    <n v="97.9"/>
    <n v="98.452089999999998"/>
    <d v="2014-01-01T00:00:00"/>
    <x v="0"/>
    <x v="3"/>
  </r>
  <r>
    <s v="São Paulo"/>
    <s v="Outros serviços"/>
    <n v="95.77"/>
    <n v="92.017960000000002"/>
    <d v="2014-02-01T00:00:00"/>
    <x v="1"/>
    <x v="3"/>
  </r>
  <r>
    <s v="São Paulo"/>
    <s v="Outros serviços"/>
    <n v="93.84"/>
    <n v="89.915459999999996"/>
    <d v="2014-03-01T00:00:00"/>
    <x v="2"/>
    <x v="3"/>
  </r>
  <r>
    <s v="São Paulo"/>
    <s v="Outros serviços"/>
    <n v="100.38"/>
    <n v="101.4059"/>
    <d v="2014-04-01T00:00:00"/>
    <x v="3"/>
    <x v="3"/>
  </r>
  <r>
    <s v="São Paulo"/>
    <s v="Outros serviços"/>
    <n v="94.17"/>
    <n v="93.523799999999994"/>
    <d v="2014-05-01T00:00:00"/>
    <x v="4"/>
    <x v="3"/>
  </r>
  <r>
    <s v="São Paulo"/>
    <s v="Outros serviços"/>
    <n v="95.35"/>
    <n v="93.041380000000004"/>
    <d v="2014-06-01T00:00:00"/>
    <x v="5"/>
    <x v="3"/>
  </r>
  <r>
    <s v="São Paulo"/>
    <s v="Outros serviços"/>
    <n v="95.95"/>
    <n v="93.987970000000004"/>
    <d v="2014-07-01T00:00:00"/>
    <x v="6"/>
    <x v="3"/>
  </r>
  <r>
    <s v="São Paulo"/>
    <s v="Outros serviços"/>
    <n v="97.67"/>
    <n v="99.211699999999993"/>
    <d v="2014-08-01T00:00:00"/>
    <x v="7"/>
    <x v="3"/>
  </r>
  <r>
    <s v="São Paulo"/>
    <s v="Outros serviços"/>
    <n v="97.39"/>
    <n v="99.489080000000001"/>
    <d v="2014-09-01T00:00:00"/>
    <x v="8"/>
    <x v="3"/>
  </r>
  <r>
    <s v="São Paulo"/>
    <s v="Outros serviços"/>
    <n v="102.49"/>
    <n v="107.15864999999999"/>
    <d v="2014-10-01T00:00:00"/>
    <x v="9"/>
    <x v="3"/>
  </r>
  <r>
    <s v="São Paulo"/>
    <s v="Outros serviços"/>
    <n v="95.2"/>
    <n v="91.81344"/>
    <d v="2014-11-01T00:00:00"/>
    <x v="10"/>
    <x v="3"/>
  </r>
  <r>
    <s v="São Paulo"/>
    <s v="Outros serviços"/>
    <n v="90.27"/>
    <n v="98.102760000000004"/>
    <d v="2014-12-01T00:00:00"/>
    <x v="11"/>
    <x v="3"/>
  </r>
  <r>
    <s v="São Paulo"/>
    <s v="Outros serviços"/>
    <n v="88.1"/>
    <n v="85.550340000000006"/>
    <d v="2015-01-01T00:00:00"/>
    <x v="0"/>
    <x v="4"/>
  </r>
  <r>
    <s v="São Paulo"/>
    <s v="Outros serviços"/>
    <n v="88.3"/>
    <n v="82.157179999999997"/>
    <d v="2015-02-01T00:00:00"/>
    <x v="1"/>
    <x v="4"/>
  </r>
  <r>
    <s v="São Paulo"/>
    <s v="Outros serviços"/>
    <n v="87.56"/>
    <n v="88.133560000000003"/>
    <d v="2015-03-01T00:00:00"/>
    <x v="2"/>
    <x v="4"/>
  </r>
  <r>
    <s v="São Paulo"/>
    <s v="Outros serviços"/>
    <n v="88.95"/>
    <n v="88.251239999999996"/>
    <d v="2015-04-01T00:00:00"/>
    <x v="3"/>
    <x v="4"/>
  </r>
  <r>
    <s v="São Paulo"/>
    <s v="Outros serviços"/>
    <n v="87.67"/>
    <n v="87.897570000000002"/>
    <d v="2015-05-01T00:00:00"/>
    <x v="4"/>
    <x v="4"/>
  </r>
  <r>
    <s v="São Paulo"/>
    <s v="Outros serviços"/>
    <n v="87.37"/>
    <n v="86.045739999999995"/>
    <d v="2015-06-01T00:00:00"/>
    <x v="5"/>
    <x v="4"/>
  </r>
  <r>
    <s v="São Paulo"/>
    <s v="Outros serviços"/>
    <n v="85.88"/>
    <n v="84.311099999999996"/>
    <d v="2015-07-01T00:00:00"/>
    <x v="6"/>
    <x v="4"/>
  </r>
  <r>
    <s v="São Paulo"/>
    <s v="Outros serviços"/>
    <n v="84.94"/>
    <n v="85.052239999999998"/>
    <d v="2015-08-01T00:00:00"/>
    <x v="7"/>
    <x v="4"/>
  </r>
  <r>
    <s v="São Paulo"/>
    <s v="Outros serviços"/>
    <n v="85.06"/>
    <n v="88.130330000000001"/>
    <d v="2015-09-01T00:00:00"/>
    <x v="8"/>
    <x v="4"/>
  </r>
  <r>
    <s v="São Paulo"/>
    <s v="Outros serviços"/>
    <n v="87.11"/>
    <n v="88.91377"/>
    <d v="2015-10-01T00:00:00"/>
    <x v="9"/>
    <x v="4"/>
  </r>
  <r>
    <s v="São Paulo"/>
    <s v="Outros serviços"/>
    <n v="87.76"/>
    <n v="85.831649999999996"/>
    <d v="2015-11-01T00:00:00"/>
    <x v="10"/>
    <x v="4"/>
  </r>
  <r>
    <s v="São Paulo"/>
    <s v="Outros serviços"/>
    <n v="78.069999999999993"/>
    <n v="84.196299999999994"/>
    <d v="2015-12-01T00:00:00"/>
    <x v="11"/>
    <x v="4"/>
  </r>
  <r>
    <s v="São Paulo"/>
    <s v="Outros serviços"/>
    <n v="81.75"/>
    <n v="79.802310000000006"/>
    <d v="2016-01-01T00:00:00"/>
    <x v="0"/>
    <x v="5"/>
  </r>
  <r>
    <s v="São Paulo"/>
    <s v="Outros serviços"/>
    <n v="81.349999999999994"/>
    <n v="78.177819999999997"/>
    <d v="2016-02-01T00:00:00"/>
    <x v="1"/>
    <x v="5"/>
  </r>
  <r>
    <s v="São Paulo"/>
    <s v="Outros serviços"/>
    <n v="97.98"/>
    <n v="96.718999999999994"/>
    <d v="2016-03-01T00:00:00"/>
    <x v="2"/>
    <x v="5"/>
  </r>
  <r>
    <s v="São Paulo"/>
    <s v="Outros serviços"/>
    <n v="85.8"/>
    <n v="87.176829999999995"/>
    <d v="2016-04-01T00:00:00"/>
    <x v="3"/>
    <x v="5"/>
  </r>
  <r>
    <s v="São Paulo"/>
    <s v="Outros serviços"/>
    <n v="84.4"/>
    <n v="82.963710000000006"/>
    <d v="2016-05-01T00:00:00"/>
    <x v="4"/>
    <x v="5"/>
  </r>
  <r>
    <s v="São Paulo"/>
    <s v="Outros serviços"/>
    <n v="84.88"/>
    <n v="85.744200000000006"/>
    <d v="2016-06-01T00:00:00"/>
    <x v="5"/>
    <x v="5"/>
  </r>
  <r>
    <s v="São Paulo"/>
    <s v="Outros serviços"/>
    <n v="92.81"/>
    <n v="90.285510000000002"/>
    <d v="2016-07-01T00:00:00"/>
    <x v="6"/>
    <x v="5"/>
  </r>
  <r>
    <s v="São Paulo"/>
    <s v="Outros serviços"/>
    <n v="88.77"/>
    <n v="91.633709999999994"/>
    <d v="2016-08-01T00:00:00"/>
    <x v="7"/>
    <x v="5"/>
  </r>
  <r>
    <s v="São Paulo"/>
    <s v="Outros serviços"/>
    <n v="87.2"/>
    <n v="87.424890000000005"/>
    <d v="2016-09-01T00:00:00"/>
    <x v="8"/>
    <x v="5"/>
  </r>
  <r>
    <s v="São Paulo"/>
    <s v="Outros serviços"/>
    <n v="89.14"/>
    <n v="90.56259"/>
    <d v="2016-10-01T00:00:00"/>
    <x v="9"/>
    <x v="5"/>
  </r>
  <r>
    <s v="São Paulo"/>
    <s v="Outros serviços"/>
    <n v="93.02"/>
    <n v="93.366590000000002"/>
    <d v="2016-11-01T00:00:00"/>
    <x v="10"/>
    <x v="5"/>
  </r>
  <r>
    <s v="São Paulo"/>
    <s v="Outros serviços"/>
    <n v="89.46"/>
    <n v="94.55592"/>
    <d v="2016-12-01T00:00:00"/>
    <x v="11"/>
    <x v="5"/>
  </r>
  <r>
    <s v="São Paulo"/>
    <s v="Outros serviços"/>
    <n v="72.77"/>
    <n v="71.650000000000006"/>
    <d v="2017-01-01T00:00:00"/>
    <x v="0"/>
    <x v="6"/>
  </r>
  <r>
    <s v="São Paulo"/>
    <s v="Outros serviços"/>
    <n v="74.48"/>
    <n v="69.593530000000001"/>
    <d v="2017-02-01T00:00:00"/>
    <x v="1"/>
    <x v="6"/>
  </r>
  <r>
    <s v="São Paulo"/>
    <s v="Outros serviços"/>
    <n v="74.17"/>
    <n v="76.049400000000006"/>
    <d v="2017-03-01T00:00:00"/>
    <x v="2"/>
    <x v="6"/>
  </r>
  <r>
    <s v="São Paulo"/>
    <s v="Outros serviços"/>
    <n v="72.66"/>
    <n v="70.553200000000004"/>
    <d v="2017-04-01T00:00:00"/>
    <x v="3"/>
    <x v="6"/>
  </r>
  <r>
    <s v="São Paulo"/>
    <s v="Outros serviços"/>
    <n v="77.62"/>
    <n v="79.439769999999996"/>
    <d v="2017-05-01T00:00:00"/>
    <x v="4"/>
    <x v="6"/>
  </r>
  <r>
    <s v="São Paulo"/>
    <s v="Outros serviços"/>
    <n v="75.2"/>
    <n v="73.412509999999997"/>
    <d v="2017-06-01T00:00:00"/>
    <x v="5"/>
    <x v="6"/>
  </r>
  <r>
    <s v="São Paulo"/>
    <s v="Outros serviços"/>
    <n v="75.22"/>
    <n v="72.846720000000005"/>
    <d v="2017-07-01T00:00:00"/>
    <x v="6"/>
    <x v="6"/>
  </r>
  <r>
    <s v="São Paulo"/>
    <s v="Outros serviços"/>
    <n v="73.290000000000006"/>
    <n v="74.965419999999995"/>
    <d v="2017-08-01T00:00:00"/>
    <x v="7"/>
    <x v="6"/>
  </r>
  <r>
    <s v="São Paulo"/>
    <s v="Outros serviços"/>
    <n v="75.19"/>
    <n v="75.198809999999995"/>
    <d v="2017-09-01T00:00:00"/>
    <x v="8"/>
    <x v="6"/>
  </r>
  <r>
    <s v="São Paulo"/>
    <s v="Outros serviços"/>
    <n v="75.23"/>
    <n v="77.094329999999999"/>
    <d v="2017-10-01T00:00:00"/>
    <x v="9"/>
    <x v="6"/>
  </r>
  <r>
    <s v="São Paulo"/>
    <s v="Outros serviços"/>
    <n v="73.22"/>
    <n v="71.844130000000007"/>
    <d v="2017-11-01T00:00:00"/>
    <x v="10"/>
    <x v="6"/>
  </r>
  <r>
    <s v="São Paulo"/>
    <s v="Outros serviços"/>
    <n v="77.87"/>
    <n v="83.626900000000006"/>
    <d v="2017-12-01T00:00:00"/>
    <x v="11"/>
    <x v="6"/>
  </r>
  <r>
    <s v="São Paulo"/>
    <s v="Outros serviços"/>
    <n v="77.510000000000005"/>
    <n v="77.737750000000005"/>
    <d v="2018-01-01T00:00:00"/>
    <x v="0"/>
    <x v="7"/>
  </r>
  <r>
    <s v="São Paulo"/>
    <s v="Outros serviços"/>
    <n v="78.260000000000005"/>
    <n v="73.563450000000003"/>
    <d v="2018-02-01T00:00:00"/>
    <x v="1"/>
    <x v="7"/>
  </r>
  <r>
    <s v="São Paulo"/>
    <s v="Outros serviços"/>
    <n v="80.41"/>
    <n v="78.180059999999997"/>
    <d v="2018-03-01T00:00:00"/>
    <x v="2"/>
    <x v="7"/>
  </r>
  <r>
    <s v="São Paulo"/>
    <s v="Outros serviços"/>
    <n v="79.209999999999994"/>
    <n v="79.407610000000005"/>
    <d v="2018-04-01T00:00:00"/>
    <x v="3"/>
    <x v="7"/>
  </r>
  <r>
    <s v="São Paulo"/>
    <s v="Outros serviços"/>
    <n v="74.75"/>
    <n v="75.64922"/>
    <d v="2018-05-01T00:00:00"/>
    <x v="4"/>
    <x v="7"/>
  </r>
  <r>
    <s v="São Paulo"/>
    <s v="Outros serviços"/>
    <n v="77.36"/>
    <n v="75.829989999999995"/>
    <d v="2018-06-01T00:00:00"/>
    <x v="5"/>
    <x v="7"/>
  </r>
  <r>
    <s v="São Paulo"/>
    <s v="Outros serviços"/>
    <n v="74.02"/>
    <n v="73.371039999999994"/>
    <d v="2018-07-01T00:00:00"/>
    <x v="6"/>
    <x v="7"/>
  </r>
  <r>
    <s v="São Paulo"/>
    <s v="Outros serviços"/>
    <n v="75.77"/>
    <n v="77.810109999999995"/>
    <d v="2018-08-01T00:00:00"/>
    <x v="7"/>
    <x v="7"/>
  </r>
  <r>
    <s v="São Paulo"/>
    <s v="Outros serviços"/>
    <n v="78.599999999999994"/>
    <n v="77.766959999999997"/>
    <d v="2018-09-01T00:00:00"/>
    <x v="8"/>
    <x v="7"/>
  </r>
  <r>
    <s v="São Paulo"/>
    <s v="Outros serviços"/>
    <n v="80.3"/>
    <n v="82.664420000000007"/>
    <d v="2018-10-01T00:00:00"/>
    <x v="9"/>
    <x v="7"/>
  </r>
  <r>
    <s v="São Paulo"/>
    <s v="Outros serviços"/>
    <n v="81.62"/>
    <n v="78.912689999999998"/>
    <d v="2018-11-01T00:00:00"/>
    <x v="10"/>
    <x v="7"/>
  </r>
  <r>
    <s v="São Paulo"/>
    <s v="Outros serviços"/>
    <n v="79.459999999999994"/>
    <n v="85.156589999999994"/>
    <d v="2018-12-01T00:00:00"/>
    <x v="11"/>
    <x v="7"/>
  </r>
  <r>
    <s v="São Paulo"/>
    <s v="Outros serviços"/>
    <n v="83.86"/>
    <n v="83.522040000000004"/>
    <d v="2019-01-01T00:00:00"/>
    <x v="0"/>
    <x v="8"/>
  </r>
  <r>
    <s v="São Paulo"/>
    <s v="Outros serviços"/>
    <n v="82.29"/>
    <n v="80.803269999999998"/>
    <d v="2019-02-01T00:00:00"/>
    <x v="1"/>
    <x v="8"/>
  </r>
  <r>
    <s v="São Paulo"/>
    <s v="Outros serviços"/>
    <n v="81.72"/>
    <n v="79.805139999999994"/>
    <d v="2019-03-01T00:00:00"/>
    <x v="2"/>
    <x v="8"/>
  </r>
  <r>
    <s v="São Paulo"/>
    <s v="Outros serviços"/>
    <n v="80.77"/>
    <n v="78.554079999999999"/>
    <d v="2019-04-01T00:00:00"/>
    <x v="3"/>
    <x v="8"/>
  </r>
  <r>
    <s v="São Paulo"/>
    <s v="Outros serviços"/>
    <n v="81.180000000000007"/>
    <n v="81.825599999999994"/>
    <d v="2019-05-01T00:00:00"/>
    <x v="4"/>
    <x v="8"/>
  </r>
  <r>
    <s v="São Paulo"/>
    <s v="Outros serviços"/>
    <n v="81.98"/>
    <n v="79.834180000000003"/>
    <d v="2019-06-01T00:00:00"/>
    <x v="5"/>
    <x v="8"/>
  </r>
  <r>
    <s v="São Paulo"/>
    <s v="Outros serviços"/>
    <n v="83.51"/>
    <n v="84.495189999999994"/>
    <d v="2019-07-01T00:00:00"/>
    <x v="6"/>
    <x v="8"/>
  </r>
  <r>
    <s v="São Paulo"/>
    <s v="Outros serviços"/>
    <n v="85.36"/>
    <n v="86.317850000000007"/>
    <d v="2019-08-01T00:00:00"/>
    <x v="7"/>
    <x v="8"/>
  </r>
  <r>
    <s v="São Paulo"/>
    <s v="Outros serviços"/>
    <n v="85.69"/>
    <n v="85.30104"/>
    <d v="2019-09-01T00:00:00"/>
    <x v="8"/>
    <x v="8"/>
  </r>
  <r>
    <s v="São Paulo"/>
    <s v="Outros serviços"/>
    <n v="85.02"/>
    <n v="86.020219999999995"/>
    <d v="2019-10-01T00:00:00"/>
    <x v="9"/>
    <x v="8"/>
  </r>
  <r>
    <s v="São Paulo"/>
    <s v="Outros serviços"/>
    <n v="86.05"/>
    <n v="83.316609999999997"/>
    <d v="2019-11-01T00:00:00"/>
    <x v="10"/>
    <x v="8"/>
  </r>
  <r>
    <s v="São Paulo"/>
    <s v="Outros serviços"/>
    <n v="92.39"/>
    <n v="100.98831"/>
    <d v="2019-12-01T00:00:00"/>
    <x v="11"/>
    <x v="8"/>
  </r>
  <r>
    <s v="São Paulo"/>
    <s v="Outros serviços"/>
    <n v="96.78"/>
    <n v="96.085539999999995"/>
    <d v="2020-01-01T00:00:00"/>
    <x v="0"/>
    <x v="9"/>
  </r>
  <r>
    <s v="São Paulo"/>
    <s v="Outros serviços"/>
    <n v="93.62"/>
    <n v="90.694969999999998"/>
    <d v="2020-02-01T00:00:00"/>
    <x v="1"/>
    <x v="9"/>
  </r>
  <r>
    <s v="São Paulo"/>
    <s v="Outros serviços"/>
    <n v="97.65"/>
    <n v="99.739540000000005"/>
    <d v="2020-03-01T00:00:00"/>
    <x v="2"/>
    <x v="9"/>
  </r>
  <r>
    <s v="São Paulo"/>
    <s v="Outros serviços"/>
    <n v="91.35"/>
    <n v="88.057460000000006"/>
    <d v="2020-04-01T00:00:00"/>
    <x v="3"/>
    <x v="9"/>
  </r>
  <r>
    <s v="São Paulo"/>
    <s v="Outros serviços"/>
    <n v="84.35"/>
    <n v="83.798280000000005"/>
    <d v="2020-05-01T00:00:00"/>
    <x v="4"/>
    <x v="9"/>
  </r>
  <r>
    <s v="São Paulo"/>
    <s v="Outros serviços"/>
    <n v="92.36"/>
    <n v="91.652060000000006"/>
    <d v="2020-06-01T00:00:00"/>
    <x v="5"/>
    <x v="9"/>
  </r>
  <r>
    <s v="São Paulo"/>
    <s v="Outros serviços"/>
    <n v="94.47"/>
    <n v="95.158609999999996"/>
    <d v="2020-07-01T00:00:00"/>
    <x v="6"/>
    <x v="9"/>
  </r>
  <r>
    <s v="São Paulo"/>
    <s v="Outros serviços"/>
    <n v="97.1"/>
    <n v="99.265680000000003"/>
    <d v="2020-08-01T00:00:00"/>
    <x v="7"/>
    <x v="9"/>
  </r>
  <r>
    <s v="São Paulo"/>
    <s v="Outros serviços"/>
    <n v="105.79"/>
    <n v="108.00378000000001"/>
    <d v="2020-09-01T00:00:00"/>
    <x v="8"/>
    <x v="9"/>
  </r>
  <r>
    <s v="São Paulo"/>
    <s v="Outros serviços"/>
    <n v="100.31"/>
    <n v="98.260350000000003"/>
    <d v="2020-10-01T00:00:00"/>
    <x v="9"/>
    <x v="9"/>
  </r>
  <r>
    <s v="São Paulo"/>
    <s v="Outros serviços"/>
    <n v="99.76"/>
    <n v="96.621560000000002"/>
    <d v="2020-11-01T00:00:00"/>
    <x v="10"/>
    <x v="9"/>
  </r>
  <r>
    <s v="São Paulo"/>
    <s v="Outros serviços"/>
    <n v="100.4"/>
    <n v="110.79907"/>
    <d v="2020-12-01T00:00:00"/>
    <x v="11"/>
    <x v="9"/>
  </r>
  <r>
    <s v="São Paulo"/>
    <s v="Outros serviços"/>
    <n v="97"/>
    <n v="94.448580000000007"/>
    <d v="2021-01-01T00:00:00"/>
    <x v="0"/>
    <x v="10"/>
  </r>
  <r>
    <s v="São Paulo"/>
    <s v="Outros serviços"/>
    <n v="99.54"/>
    <n v="93.90737"/>
    <d v="2021-02-01T00:00:00"/>
    <x v="1"/>
    <x v="10"/>
  </r>
  <r>
    <s v="São Paulo"/>
    <s v="Outros serviços"/>
    <n v="100.96"/>
    <n v="104.45796"/>
    <d v="2021-03-01T00:00:00"/>
    <x v="2"/>
    <x v="10"/>
  </r>
  <r>
    <s v="São Paulo"/>
    <s v="Outros serviços"/>
    <n v="103.66"/>
    <n v="98.660960000000003"/>
    <d v="2021-04-01T00:00:00"/>
    <x v="3"/>
    <x v="10"/>
  </r>
  <r>
    <s v="São Paulo"/>
    <s v="Outros serviços"/>
    <n v="101.57"/>
    <n v="100.03025"/>
    <d v="2021-05-01T00:00:00"/>
    <x v="4"/>
    <x v="10"/>
  </r>
  <r>
    <s v="São Paulo"/>
    <s v="Outros serviços"/>
    <n v="100.15"/>
    <n v="101.51955"/>
    <d v="2021-06-01T00:00:00"/>
    <x v="5"/>
    <x v="10"/>
  </r>
  <r>
    <s v="São Paulo"/>
    <s v="Outros serviços"/>
    <n v="110.34"/>
    <n v="108.79747"/>
    <d v="2021-07-01T00:00:00"/>
    <x v="6"/>
    <x v="10"/>
  </r>
  <r>
    <s v="São Paulo"/>
    <s v="Outros serviços"/>
    <n v="105.47"/>
    <n v="110.71642"/>
    <d v="2021-08-01T00:00:00"/>
    <x v="7"/>
    <x v="10"/>
  </r>
  <r>
    <s v="São Paulo"/>
    <s v="Outros serviços"/>
    <n v="98.55"/>
    <n v="98.330430000000007"/>
    <d v="2021-09-01T00:00:00"/>
    <x v="8"/>
    <x v="10"/>
  </r>
  <r>
    <s v="São Paulo"/>
    <s v="Outros serviços"/>
    <n v="95.4"/>
    <n v="94.133139999999997"/>
    <d v="2021-10-01T00:00:00"/>
    <x v="9"/>
    <x v="10"/>
  </r>
  <r>
    <s v="São Paulo"/>
    <s v="Outros serviços"/>
    <n v="95.28"/>
    <n v="93.852639999999994"/>
    <d v="2021-11-01T00:00:00"/>
    <x v="10"/>
    <x v="10"/>
  </r>
  <r>
    <s v="São Paulo"/>
    <s v="Outros serviços"/>
    <n v="95.58"/>
    <n v="105.06393"/>
    <d v="2021-12-01T00:00:00"/>
    <x v="11"/>
    <x v="10"/>
  </r>
  <r>
    <s v="São Paulo"/>
    <s v="Outros serviços"/>
    <n v="103.8"/>
    <n v="99.354079999999996"/>
    <d v="2022-01-01T00:00:00"/>
    <x v="0"/>
    <x v="11"/>
  </r>
  <r>
    <s v="São Paulo"/>
    <s v="Outros serviços"/>
    <n v="96.96"/>
    <n v="91.305059999999997"/>
    <d v="2022-02-01T00:00:00"/>
    <x v="1"/>
    <x v="11"/>
  </r>
  <r>
    <s v="São Paulo"/>
    <s v="Outros serviços"/>
    <n v="96.27"/>
    <n v="98.514420000000001"/>
    <d v="2022-03-01T00:00:00"/>
    <x v="2"/>
    <x v="11"/>
  </r>
  <r>
    <s v="São Paulo"/>
    <s v="Outros serviços"/>
    <n v="94.36"/>
    <n v="89.639880000000005"/>
    <d v="2022-04-01T00:00:00"/>
    <x v="3"/>
    <x v="11"/>
  </r>
  <r>
    <s v="São Paulo"/>
    <s v="Outros serviços"/>
    <n v="97.8"/>
    <n v="98.546149999999997"/>
    <d v="2022-05-01T00:00:00"/>
    <x v="4"/>
    <x v="11"/>
  </r>
  <r>
    <s v="São Paulo"/>
    <s v="Outros serviços"/>
    <n v="97.09"/>
    <n v="96.768320000000003"/>
    <d v="2022-06-01T00:00:00"/>
    <x v="5"/>
    <x v="11"/>
  </r>
  <r>
    <s v="São Paulo"/>
    <s v="Outros serviços"/>
    <n v="92.38"/>
    <n v="92.322370000000006"/>
    <d v="2022-07-01T00:00:00"/>
    <x v="6"/>
    <x v="11"/>
  </r>
  <r>
    <s v="São Paulo"/>
    <s v="Outros serviços"/>
    <n v="105.04"/>
    <n v="112.52891"/>
    <d v="2022-08-01T00:00:00"/>
    <x v="7"/>
    <x v="11"/>
  </r>
  <r>
    <s v="São Paulo"/>
    <s v="Outros serviços"/>
    <n v="100.42"/>
    <n v="99.008570000000006"/>
    <d v="2022-09-01T00:00:00"/>
    <x v="8"/>
    <x v="11"/>
  </r>
  <r>
    <s v="São Paulo"/>
    <s v="Outros serviços"/>
    <n v="101.43"/>
    <n v="98.707560000000001"/>
    <d v="2022-10-01T00:00:00"/>
    <x v="9"/>
    <x v="11"/>
  </r>
  <r>
    <s v="São Paulo"/>
    <s v="Outros serviços"/>
    <n v="100.04"/>
    <n v="100.91063"/>
    <d v="2022-11-01T00:00:00"/>
    <x v="10"/>
    <x v="11"/>
  </r>
  <r>
    <s v="São Paulo"/>
    <s v="Outros serviços"/>
    <n v="114.4"/>
    <n v="122.39406"/>
    <d v="2022-12-01T00:00:00"/>
    <x v="11"/>
    <x v="11"/>
  </r>
  <r>
    <s v="São Paulo"/>
    <s v="Outros serviços"/>
    <n v="96.71"/>
    <n v="93.88306"/>
    <d v="2023-01-01T00:00:00"/>
    <x v="0"/>
    <x v="12"/>
  </r>
  <r>
    <s v="São Paulo"/>
    <s v="Outros serviços"/>
    <n v="96.31"/>
    <n v="90.661829999999995"/>
    <d v="2023-02-01T00:00:00"/>
    <x v="1"/>
    <x v="12"/>
  </r>
  <r>
    <s v="São Paulo"/>
    <s v="Outros serviços"/>
    <n v="96.43"/>
    <n v="98.60463"/>
    <d v="2023-03-01T00:00:00"/>
    <x v="2"/>
    <x v="12"/>
  </r>
  <r>
    <s v="São Paulo"/>
    <s v="Outros serviços"/>
    <n v="95.69"/>
    <n v="89.901989999999998"/>
    <d v="2023-04-01T00:00:00"/>
    <x v="3"/>
    <x v="12"/>
  </r>
  <r>
    <s v="São Paulo"/>
    <s v="Outros serviços"/>
    <n v="95.59"/>
    <n v="98.438379999999995"/>
    <d v="2023-05-01T00:00:00"/>
    <x v="4"/>
    <x v="12"/>
  </r>
  <r>
    <s v="São Paulo"/>
    <s v="Outros serviços"/>
    <n v="97.37"/>
    <n v="96.433520000000001"/>
    <d v="2023-06-01T00:00:00"/>
    <x v="5"/>
    <x v="12"/>
  </r>
  <r>
    <s v="São Paulo"/>
    <s v="Outros serviços"/>
    <n v="98.04"/>
    <n v="96.901809999999998"/>
    <d v="2023-07-01T00:00:00"/>
    <x v="6"/>
    <x v="12"/>
  </r>
  <r>
    <s v="São Paulo"/>
    <s v="Outros serviços"/>
    <n v="93.94"/>
    <n v="99.741349999999997"/>
    <d v="2023-08-01T00:00:00"/>
    <x v="7"/>
    <x v="12"/>
  </r>
  <r>
    <s v="São Paulo"/>
    <s v="Outros serviços"/>
    <n v="94.11"/>
    <n v="92.720060000000004"/>
    <d v="2023-09-01T00:00:00"/>
    <x v="8"/>
    <x v="12"/>
  </r>
  <r>
    <s v="São Paulo"/>
    <s v="Outros serviços"/>
    <n v="96.5"/>
    <n v="95.530690000000007"/>
    <d v="2023-10-01T00:00:00"/>
    <x v="9"/>
    <x v="12"/>
  </r>
  <r>
    <s v="São Paulo"/>
    <s v="Outros serviços"/>
    <n v="99.53"/>
    <n v="99.015349999999998"/>
    <d v="2023-11-01T00:00:00"/>
    <x v="10"/>
    <x v="12"/>
  </r>
  <r>
    <s v="São Paulo"/>
    <s v="Outros serviços"/>
    <n v="100.31"/>
    <n v="107.93715"/>
    <d v="2023-12-01T00:00:00"/>
    <x v="11"/>
    <x v="12"/>
  </r>
  <r>
    <s v="São Paulo"/>
    <s v="Outros serviços"/>
    <n v="97.31"/>
    <n v="95.964510000000004"/>
    <d v="2024-01-01T00:00:00"/>
    <x v="0"/>
    <x v="13"/>
  </r>
  <r>
    <s v="São Paulo"/>
    <s v="Outros serviços"/>
    <n v="97.08"/>
    <n v="93.5398"/>
    <d v="2024-02-01T00:00:00"/>
    <x v="1"/>
    <x v="13"/>
  </r>
  <r>
    <s v="São Paulo"/>
    <s v="Outros serviços"/>
    <n v="97.84"/>
    <n v="95.612970000000004"/>
    <d v="2024-03-01T00:00:00"/>
    <x v="2"/>
    <x v="13"/>
  </r>
  <r>
    <s v="São Paulo"/>
    <s v="Outros serviços"/>
    <n v="98"/>
    <n v="96.465779999999995"/>
    <d v="2024-04-01T00:00:00"/>
    <x v="3"/>
    <x v="13"/>
  </r>
  <r>
    <s v="São Paulo"/>
    <s v="Outros serviços"/>
    <n v="96.74"/>
    <n v="98.182749999999999"/>
    <d v="2024-05-01T00:00:00"/>
    <x v="4"/>
    <x v="13"/>
  </r>
  <r>
    <s v="São Paulo"/>
    <s v="Outros serviços"/>
    <n v="96.28"/>
    <n v="95.743579999999994"/>
    <d v="2024-06-01T00:00:00"/>
    <x v="5"/>
    <x v="13"/>
  </r>
  <r>
    <s v="São Paulo"/>
    <s v="Outros serviços"/>
    <n v="95.04"/>
    <n v="97.107010000000002"/>
    <d v="2024-07-01T00:00:00"/>
    <x v="6"/>
    <x v="13"/>
  </r>
  <r>
    <s v="São Paulo"/>
    <s v="Outros serviços"/>
    <n v="97.95"/>
    <n v="101.11117"/>
    <d v="2024-08-01T00:00:00"/>
    <x v="7"/>
    <x v="13"/>
  </r>
  <r>
    <s v="São Paulo"/>
    <s v="Outros serviços"/>
    <n v="96.08"/>
    <n v="94.250799999999998"/>
    <d v="2024-09-01T00:00:00"/>
    <x v="8"/>
    <x v="13"/>
  </r>
  <r>
    <s v="São Paulo"/>
    <s v="Outros serviços"/>
    <n v="94.65"/>
    <n v="94.227699999999999"/>
    <d v="2024-10-01T00:00:00"/>
    <x v="9"/>
    <x v="13"/>
  </r>
  <r>
    <s v="São Paulo"/>
    <s v="Outros serviços"/>
    <n v="95.38"/>
    <n v="94.629909999999995"/>
    <d v="2024-11-01T00:00:00"/>
    <x v="10"/>
    <x v="13"/>
  </r>
  <r>
    <s v="São Paulo"/>
    <s v="Outros serviços"/>
    <n v="93.55"/>
    <n v="101.34941000000001"/>
    <d v="2024-12-01T00:00:00"/>
    <x v="11"/>
    <x v="13"/>
  </r>
  <r>
    <s v="São Paulo"/>
    <s v="Outros serviços"/>
    <n v="96.02"/>
    <n v="93.921300000000002"/>
    <d v="2025-01-01T00:00:00"/>
    <x v="0"/>
    <x v="14"/>
  </r>
  <r>
    <s v="São Paulo"/>
    <s v="Outros serviços"/>
    <n v="96.94"/>
    <n v="94.146079999999998"/>
    <d v="2025-02-01T00:00:00"/>
    <x v="1"/>
    <x v="14"/>
  </r>
  <r>
    <s v="São Paulo"/>
    <s v="Outros serviços"/>
    <n v="95.73"/>
    <n v="92.93374"/>
    <d v="2025-03-01T00:00:00"/>
    <x v="2"/>
    <x v="14"/>
  </r>
  <r>
    <s v="São Paulo"/>
    <s v="Outros serviços"/>
    <n v="95.13"/>
    <n v="92.272890000000004"/>
    <d v="2025-04-01T00:00:00"/>
    <x v="3"/>
    <x v="14"/>
  </r>
  <r>
    <s v="São Paulo"/>
    <s v="Outros serviços"/>
    <n v="96.98"/>
    <n v="97.084220000000002"/>
    <d v="2025-05-01T00:00:00"/>
    <x v="4"/>
    <x v="14"/>
  </r>
  <r>
    <s v="São Paulo"/>
    <s v="Outros serviços"/>
    <n v="95.28"/>
    <n v="94.578239999999994"/>
    <d v="2025-06-01T00:00:00"/>
    <x v="5"/>
    <x v="14"/>
  </r>
  <r>
    <s v="São Paulo"/>
    <s v="Outros serviços"/>
    <n v="94.92"/>
    <n v="95.923540000000003"/>
    <d v="2025-07-01T00:00:00"/>
    <x v="6"/>
    <x v="14"/>
  </r>
  <r>
    <s v="São Paulo"/>
    <s v="Outros serviços"/>
    <n v="93.73"/>
    <n v="97.670670000000001"/>
    <d v="2025-08-01T00:00:00"/>
    <x v="7"/>
    <x v="14"/>
  </r>
  <r>
    <s v="São Paulo"/>
    <s v="Transportes, serviços auxiliares aos transportes e correio"/>
    <n v="78.510000000000005"/>
    <n v="70.60351"/>
    <d v="2011-01-01T00:00:00"/>
    <x v="0"/>
    <x v="0"/>
  </r>
  <r>
    <s v="São Paulo"/>
    <s v="Transportes, serviços auxiliares aos transportes e correio"/>
    <n v="80.31"/>
    <n v="72.710589999999996"/>
    <d v="2011-02-01T00:00:00"/>
    <x v="1"/>
    <x v="0"/>
  </r>
  <r>
    <s v="São Paulo"/>
    <s v="Transportes, serviços auxiliares aos transportes e correio"/>
    <n v="79.569999999999993"/>
    <n v="76.732780000000005"/>
    <d v="2011-03-01T00:00:00"/>
    <x v="2"/>
    <x v="0"/>
  </r>
  <r>
    <s v="São Paulo"/>
    <s v="Transportes, serviços auxiliares aos transportes e correio"/>
    <n v="80.53"/>
    <n v="77.509060000000005"/>
    <d v="2011-04-01T00:00:00"/>
    <x v="3"/>
    <x v="0"/>
  </r>
  <r>
    <s v="São Paulo"/>
    <s v="Transportes, serviços auxiliares aos transportes e correio"/>
    <n v="83"/>
    <n v="84.189790000000002"/>
    <d v="2011-05-01T00:00:00"/>
    <x v="4"/>
    <x v="0"/>
  </r>
  <r>
    <s v="São Paulo"/>
    <s v="Transportes, serviços auxiliares aos transportes e correio"/>
    <n v="83.69"/>
    <n v="83.040769999999995"/>
    <d v="2011-06-01T00:00:00"/>
    <x v="5"/>
    <x v="0"/>
  </r>
  <r>
    <s v="São Paulo"/>
    <s v="Transportes, serviços auxiliares aos transportes e correio"/>
    <n v="85.16"/>
    <n v="85.631360000000001"/>
    <d v="2011-07-01T00:00:00"/>
    <x v="6"/>
    <x v="0"/>
  </r>
  <r>
    <s v="São Paulo"/>
    <s v="Transportes, serviços auxiliares aos transportes e correio"/>
    <n v="81.23"/>
    <n v="87.206440000000001"/>
    <d v="2011-08-01T00:00:00"/>
    <x v="7"/>
    <x v="0"/>
  </r>
  <r>
    <s v="São Paulo"/>
    <s v="Transportes, serviços auxiliares aos transportes e correio"/>
    <n v="79.55"/>
    <n v="83.432040000000001"/>
    <d v="2011-09-01T00:00:00"/>
    <x v="8"/>
    <x v="0"/>
  </r>
  <r>
    <s v="São Paulo"/>
    <s v="Transportes, serviços auxiliares aos transportes e correio"/>
    <n v="79.569999999999993"/>
    <n v="84.029219999999995"/>
    <d v="2011-10-01T00:00:00"/>
    <x v="9"/>
    <x v="0"/>
  </r>
  <r>
    <s v="São Paulo"/>
    <s v="Transportes, serviços auxiliares aos transportes e correio"/>
    <n v="79.78"/>
    <n v="82.691559999999996"/>
    <d v="2011-11-01T00:00:00"/>
    <x v="10"/>
    <x v="0"/>
  </r>
  <r>
    <s v="São Paulo"/>
    <s v="Transportes, serviços auxiliares aos transportes e correio"/>
    <n v="81.52"/>
    <n v="83.497429999999994"/>
    <d v="2011-12-01T00:00:00"/>
    <x v="11"/>
    <x v="0"/>
  </r>
  <r>
    <s v="São Paulo"/>
    <s v="Transportes, serviços auxiliares aos transportes e correio"/>
    <n v="80.760000000000005"/>
    <n v="73.536749999999998"/>
    <d v="2012-01-01T00:00:00"/>
    <x v="0"/>
    <x v="1"/>
  </r>
  <r>
    <s v="São Paulo"/>
    <s v="Transportes, serviços auxiliares aos transportes e correio"/>
    <n v="81.13"/>
    <n v="72.407939999999996"/>
    <d v="2012-02-01T00:00:00"/>
    <x v="1"/>
    <x v="1"/>
  </r>
  <r>
    <s v="São Paulo"/>
    <s v="Transportes, serviços auxiliares aos transportes e correio"/>
    <n v="84.52"/>
    <n v="84.967600000000004"/>
    <d v="2012-03-01T00:00:00"/>
    <x v="2"/>
    <x v="1"/>
  </r>
  <r>
    <s v="São Paulo"/>
    <s v="Transportes, serviços auxiliares aos transportes e correio"/>
    <n v="83.72"/>
    <n v="80.010810000000006"/>
    <d v="2012-04-01T00:00:00"/>
    <x v="3"/>
    <x v="1"/>
  </r>
  <r>
    <s v="São Paulo"/>
    <s v="Transportes, serviços auxiliares aos transportes e correio"/>
    <n v="83.4"/>
    <n v="86.207470000000001"/>
    <d v="2012-05-01T00:00:00"/>
    <x v="4"/>
    <x v="1"/>
  </r>
  <r>
    <s v="São Paulo"/>
    <s v="Transportes, serviços auxiliares aos transportes e correio"/>
    <n v="85.51"/>
    <n v="83.771190000000004"/>
    <d v="2012-06-01T00:00:00"/>
    <x v="5"/>
    <x v="1"/>
  </r>
  <r>
    <s v="São Paulo"/>
    <s v="Transportes, serviços auxiliares aos transportes e correio"/>
    <n v="85.65"/>
    <n v="86.909549999999996"/>
    <d v="2012-07-01T00:00:00"/>
    <x v="6"/>
    <x v="1"/>
  </r>
  <r>
    <s v="São Paulo"/>
    <s v="Transportes, serviços auxiliares aos transportes e correio"/>
    <n v="89.78"/>
    <n v="96.355379999999997"/>
    <d v="2012-08-01T00:00:00"/>
    <x v="7"/>
    <x v="1"/>
  </r>
  <r>
    <s v="São Paulo"/>
    <s v="Transportes, serviços auxiliares aos transportes e correio"/>
    <n v="89.35"/>
    <n v="91.538790000000006"/>
    <d v="2012-09-01T00:00:00"/>
    <x v="8"/>
    <x v="1"/>
  </r>
  <r>
    <s v="São Paulo"/>
    <s v="Transportes, serviços auxiliares aos transportes e correio"/>
    <n v="89.4"/>
    <n v="97.057869999999994"/>
    <d v="2012-10-01T00:00:00"/>
    <x v="9"/>
    <x v="1"/>
  </r>
  <r>
    <s v="São Paulo"/>
    <s v="Transportes, serviços auxiliares aos transportes e correio"/>
    <n v="90.27"/>
    <n v="93.008139999999997"/>
    <d v="2012-11-01T00:00:00"/>
    <x v="10"/>
    <x v="1"/>
  </r>
  <r>
    <s v="São Paulo"/>
    <s v="Transportes, serviços auxiliares aos transportes e correio"/>
    <n v="88.4"/>
    <n v="89.172030000000007"/>
    <d v="2012-12-01T00:00:00"/>
    <x v="11"/>
    <x v="1"/>
  </r>
  <r>
    <s v="São Paulo"/>
    <s v="Transportes, serviços auxiliares aos transportes e correio"/>
    <n v="90.55"/>
    <n v="84.143150000000006"/>
    <d v="2013-01-01T00:00:00"/>
    <x v="0"/>
    <x v="2"/>
  </r>
  <r>
    <s v="São Paulo"/>
    <s v="Transportes, serviços auxiliares aos transportes e correio"/>
    <n v="90.31"/>
    <n v="77.529030000000006"/>
    <d v="2013-02-01T00:00:00"/>
    <x v="1"/>
    <x v="2"/>
  </r>
  <r>
    <s v="São Paulo"/>
    <s v="Transportes, serviços auxiliares aos transportes e correio"/>
    <n v="90.74"/>
    <n v="88.072329999999994"/>
    <d v="2013-03-01T00:00:00"/>
    <x v="2"/>
    <x v="2"/>
  </r>
  <r>
    <s v="São Paulo"/>
    <s v="Transportes, serviços auxiliares aos transportes e correio"/>
    <n v="92.68"/>
    <n v="91.910089999999997"/>
    <d v="2013-04-01T00:00:00"/>
    <x v="3"/>
    <x v="2"/>
  </r>
  <r>
    <s v="São Paulo"/>
    <s v="Transportes, serviços auxiliares aos transportes e correio"/>
    <n v="92.2"/>
    <n v="94.225620000000006"/>
    <d v="2013-05-01T00:00:00"/>
    <x v="4"/>
    <x v="2"/>
  </r>
  <r>
    <s v="São Paulo"/>
    <s v="Transportes, serviços auxiliares aos transportes e correio"/>
    <n v="91.8"/>
    <n v="89.352249999999998"/>
    <d v="2013-06-01T00:00:00"/>
    <x v="5"/>
    <x v="2"/>
  </r>
  <r>
    <s v="São Paulo"/>
    <s v="Transportes, serviços auxiliares aos transportes e correio"/>
    <n v="92.78"/>
    <n v="95.754050000000007"/>
    <d v="2013-07-01T00:00:00"/>
    <x v="6"/>
    <x v="2"/>
  </r>
  <r>
    <s v="São Paulo"/>
    <s v="Transportes, serviços auxiliares aos transportes e correio"/>
    <n v="92.85"/>
    <n v="98.412580000000005"/>
    <d v="2013-08-01T00:00:00"/>
    <x v="7"/>
    <x v="2"/>
  </r>
  <r>
    <s v="São Paulo"/>
    <s v="Transportes, serviços auxiliares aos transportes e correio"/>
    <n v="93.75"/>
    <n v="96.796090000000007"/>
    <d v="2013-09-01T00:00:00"/>
    <x v="8"/>
    <x v="2"/>
  </r>
  <r>
    <s v="São Paulo"/>
    <s v="Transportes, serviços auxiliares aos transportes e correio"/>
    <n v="95.01"/>
    <n v="103.21037"/>
    <d v="2013-10-01T00:00:00"/>
    <x v="9"/>
    <x v="2"/>
  </r>
  <r>
    <s v="São Paulo"/>
    <s v="Transportes, serviços auxiliares aos transportes e correio"/>
    <n v="94.67"/>
    <n v="96.511610000000005"/>
    <d v="2013-11-01T00:00:00"/>
    <x v="10"/>
    <x v="2"/>
  </r>
  <r>
    <s v="São Paulo"/>
    <s v="Transportes, serviços auxiliares aos transportes e correio"/>
    <n v="94.59"/>
    <n v="96.482740000000007"/>
    <d v="2013-12-01T00:00:00"/>
    <x v="11"/>
    <x v="2"/>
  </r>
  <r>
    <s v="São Paulo"/>
    <s v="Transportes, serviços auxiliares aos transportes e correio"/>
    <n v="95.49"/>
    <n v="88.815770000000001"/>
    <d v="2014-01-01T00:00:00"/>
    <x v="0"/>
    <x v="3"/>
  </r>
  <r>
    <s v="São Paulo"/>
    <s v="Transportes, serviços auxiliares aos transportes e correio"/>
    <n v="95.51"/>
    <n v="85.819540000000003"/>
    <d v="2014-02-01T00:00:00"/>
    <x v="1"/>
    <x v="3"/>
  </r>
  <r>
    <s v="São Paulo"/>
    <s v="Transportes, serviços auxiliares aos transportes e correio"/>
    <n v="95.22"/>
    <n v="90.347560000000001"/>
    <d v="2014-03-01T00:00:00"/>
    <x v="2"/>
    <x v="3"/>
  </r>
  <r>
    <s v="São Paulo"/>
    <s v="Transportes, serviços auxiliares aos transportes e correio"/>
    <n v="95.4"/>
    <n v="92.860330000000005"/>
    <d v="2014-04-01T00:00:00"/>
    <x v="3"/>
    <x v="3"/>
  </r>
  <r>
    <s v="São Paulo"/>
    <s v="Transportes, serviços auxiliares aos transportes e correio"/>
    <n v="94.77"/>
    <n v="96.675309999999996"/>
    <d v="2014-05-01T00:00:00"/>
    <x v="4"/>
    <x v="3"/>
  </r>
  <r>
    <s v="São Paulo"/>
    <s v="Transportes, serviços auxiliares aos transportes e correio"/>
    <n v="94.4"/>
    <n v="91.65616"/>
    <d v="2014-06-01T00:00:00"/>
    <x v="5"/>
    <x v="3"/>
  </r>
  <r>
    <s v="São Paulo"/>
    <s v="Transportes, serviços auxiliares aos transportes e correio"/>
    <n v="95.86"/>
    <n v="99.213880000000003"/>
    <d v="2014-07-01T00:00:00"/>
    <x v="6"/>
    <x v="3"/>
  </r>
  <r>
    <s v="São Paulo"/>
    <s v="Transportes, serviços auxiliares aos transportes e correio"/>
    <n v="94.65"/>
    <n v="98.929850000000002"/>
    <d v="2014-08-01T00:00:00"/>
    <x v="7"/>
    <x v="3"/>
  </r>
  <r>
    <s v="São Paulo"/>
    <s v="Transportes, serviços auxiliares aos transportes e correio"/>
    <n v="95.35"/>
    <n v="99.846220000000002"/>
    <d v="2014-09-01T00:00:00"/>
    <x v="8"/>
    <x v="3"/>
  </r>
  <r>
    <s v="São Paulo"/>
    <s v="Transportes, serviços auxiliares aos transportes e correio"/>
    <n v="93.97"/>
    <n v="101.66555"/>
    <d v="2014-10-01T00:00:00"/>
    <x v="9"/>
    <x v="3"/>
  </r>
  <r>
    <s v="São Paulo"/>
    <s v="Transportes, serviços auxiliares aos transportes e correio"/>
    <n v="97.36"/>
    <n v="97.675219999999996"/>
    <d v="2014-11-01T00:00:00"/>
    <x v="10"/>
    <x v="3"/>
  </r>
  <r>
    <s v="São Paulo"/>
    <s v="Transportes, serviços auxiliares aos transportes e correio"/>
    <n v="94.48"/>
    <n v="98.138710000000003"/>
    <d v="2014-12-01T00:00:00"/>
    <x v="11"/>
    <x v="3"/>
  </r>
  <r>
    <s v="São Paulo"/>
    <s v="Transportes, serviços auxiliares aos transportes e correio"/>
    <n v="89.91"/>
    <n v="82.871570000000006"/>
    <d v="2015-01-01T00:00:00"/>
    <x v="0"/>
    <x v="4"/>
  </r>
  <r>
    <s v="São Paulo"/>
    <s v="Transportes, serviços auxiliares aos transportes e correio"/>
    <n v="90.13"/>
    <n v="78.002859999999998"/>
    <d v="2015-02-01T00:00:00"/>
    <x v="1"/>
    <x v="4"/>
  </r>
  <r>
    <s v="São Paulo"/>
    <s v="Transportes, serviços auxiliares aos transportes e correio"/>
    <n v="93.6"/>
    <n v="93.477959999999996"/>
    <d v="2015-03-01T00:00:00"/>
    <x v="2"/>
    <x v="4"/>
  </r>
  <r>
    <s v="São Paulo"/>
    <s v="Transportes, serviços auxiliares aos transportes e correio"/>
    <n v="89.05"/>
    <n v="86.185280000000006"/>
    <d v="2015-04-01T00:00:00"/>
    <x v="3"/>
    <x v="4"/>
  </r>
  <r>
    <s v="São Paulo"/>
    <s v="Transportes, serviços auxiliares aos transportes e correio"/>
    <n v="88.76"/>
    <n v="89.420259999999999"/>
    <d v="2015-05-01T00:00:00"/>
    <x v="4"/>
    <x v="4"/>
  </r>
  <r>
    <s v="São Paulo"/>
    <s v="Transportes, serviços auxiliares aos transportes e correio"/>
    <n v="86.33"/>
    <n v="85.357399999999998"/>
    <d v="2015-06-01T00:00:00"/>
    <x v="5"/>
    <x v="4"/>
  </r>
  <r>
    <s v="São Paulo"/>
    <s v="Transportes, serviços auxiliares aos transportes e correio"/>
    <n v="85.67"/>
    <n v="88.651570000000007"/>
    <d v="2015-07-01T00:00:00"/>
    <x v="6"/>
    <x v="4"/>
  </r>
  <r>
    <s v="São Paulo"/>
    <s v="Transportes, serviços auxiliares aos transportes e correio"/>
    <n v="88.56"/>
    <n v="92.295019999999994"/>
    <d v="2015-08-01T00:00:00"/>
    <x v="7"/>
    <x v="4"/>
  </r>
  <r>
    <s v="São Paulo"/>
    <s v="Transportes, serviços auxiliares aos transportes e correio"/>
    <n v="85.03"/>
    <n v="89.347290000000001"/>
    <d v="2015-09-01T00:00:00"/>
    <x v="8"/>
    <x v="4"/>
  </r>
  <r>
    <s v="São Paulo"/>
    <s v="Transportes, serviços auxiliares aos transportes e correio"/>
    <n v="86.55"/>
    <n v="92.056349999999995"/>
    <d v="2015-10-01T00:00:00"/>
    <x v="9"/>
    <x v="4"/>
  </r>
  <r>
    <s v="São Paulo"/>
    <s v="Transportes, serviços auxiliares aos transportes e correio"/>
    <n v="84.8"/>
    <n v="85.605109999999996"/>
    <d v="2015-11-01T00:00:00"/>
    <x v="10"/>
    <x v="4"/>
  </r>
  <r>
    <s v="São Paulo"/>
    <s v="Transportes, serviços auxiliares aos transportes e correio"/>
    <n v="83.02"/>
    <n v="86.648759999999996"/>
    <d v="2015-12-01T00:00:00"/>
    <x v="11"/>
    <x v="4"/>
  </r>
  <r>
    <s v="São Paulo"/>
    <s v="Transportes, serviços auxiliares aos transportes e correio"/>
    <n v="84.11"/>
    <n v="76.716009999999997"/>
    <d v="2016-01-01T00:00:00"/>
    <x v="0"/>
    <x v="5"/>
  </r>
  <r>
    <s v="São Paulo"/>
    <s v="Transportes, serviços auxiliares aos transportes e correio"/>
    <n v="85.19"/>
    <n v="76.666780000000003"/>
    <d v="2016-02-01T00:00:00"/>
    <x v="1"/>
    <x v="5"/>
  </r>
  <r>
    <s v="São Paulo"/>
    <s v="Transportes, serviços auxiliares aos transportes e correio"/>
    <n v="88.07"/>
    <n v="87.297650000000004"/>
    <d v="2016-03-01T00:00:00"/>
    <x v="2"/>
    <x v="5"/>
  </r>
  <r>
    <s v="São Paulo"/>
    <s v="Transportes, serviços auxiliares aos transportes e correio"/>
    <n v="81.8"/>
    <n v="79.728229999999996"/>
    <d v="2016-04-01T00:00:00"/>
    <x v="3"/>
    <x v="5"/>
  </r>
  <r>
    <s v="São Paulo"/>
    <s v="Transportes, serviços auxiliares aos transportes e correio"/>
    <n v="82.58"/>
    <n v="81.738690000000005"/>
    <d v="2016-05-01T00:00:00"/>
    <x v="4"/>
    <x v="5"/>
  </r>
  <r>
    <s v="São Paulo"/>
    <s v="Transportes, serviços auxiliares aos transportes e correio"/>
    <n v="82.16"/>
    <n v="84.15558"/>
    <d v="2016-06-01T00:00:00"/>
    <x v="5"/>
    <x v="5"/>
  </r>
  <r>
    <s v="São Paulo"/>
    <s v="Transportes, serviços auxiliares aos transportes e correio"/>
    <n v="82.36"/>
    <n v="83.170240000000007"/>
    <d v="2016-07-01T00:00:00"/>
    <x v="6"/>
    <x v="5"/>
  </r>
  <r>
    <s v="São Paulo"/>
    <s v="Transportes, serviços auxiliares aos transportes e correio"/>
    <n v="81.25"/>
    <n v="87.038120000000006"/>
    <d v="2016-08-01T00:00:00"/>
    <x v="7"/>
    <x v="5"/>
  </r>
  <r>
    <s v="São Paulo"/>
    <s v="Transportes, serviços auxiliares aos transportes e correio"/>
    <n v="82.11"/>
    <n v="85.635999999999996"/>
    <d v="2016-09-01T00:00:00"/>
    <x v="8"/>
    <x v="5"/>
  </r>
  <r>
    <s v="São Paulo"/>
    <s v="Transportes, serviços auxiliares aos transportes e correio"/>
    <n v="80.41"/>
    <n v="83.771169999999998"/>
    <d v="2016-10-01T00:00:00"/>
    <x v="9"/>
    <x v="5"/>
  </r>
  <r>
    <s v="São Paulo"/>
    <s v="Transportes, serviços auxiliares aos transportes e correio"/>
    <n v="80.06"/>
    <n v="82.512919999999994"/>
    <d v="2016-11-01T00:00:00"/>
    <x v="10"/>
    <x v="5"/>
  </r>
  <r>
    <s v="São Paulo"/>
    <s v="Transportes, serviços auxiliares aos transportes e correio"/>
    <n v="81.5"/>
    <n v="84.168570000000003"/>
    <d v="2016-12-01T00:00:00"/>
    <x v="11"/>
    <x v="5"/>
  </r>
  <r>
    <s v="São Paulo"/>
    <s v="Transportes, serviços auxiliares aos transportes e correio"/>
    <n v="83.06"/>
    <n v="76.674040000000005"/>
    <d v="2017-01-01T00:00:00"/>
    <x v="0"/>
    <x v="6"/>
  </r>
  <r>
    <s v="São Paulo"/>
    <s v="Transportes, serviços auxiliares aos transportes e correio"/>
    <n v="84.92"/>
    <n v="73.835369999999998"/>
    <d v="2017-02-01T00:00:00"/>
    <x v="1"/>
    <x v="6"/>
  </r>
  <r>
    <s v="São Paulo"/>
    <s v="Transportes, serviços auxiliares aos transportes e correio"/>
    <n v="84.84"/>
    <n v="85.659090000000006"/>
    <d v="2017-03-01T00:00:00"/>
    <x v="2"/>
    <x v="6"/>
  </r>
  <r>
    <s v="São Paulo"/>
    <s v="Transportes, serviços auxiliares aos transportes e correio"/>
    <n v="86.39"/>
    <n v="80.868200000000002"/>
    <d v="2017-04-01T00:00:00"/>
    <x v="3"/>
    <x v="6"/>
  </r>
  <r>
    <s v="São Paulo"/>
    <s v="Transportes, serviços auxiliares aos transportes e correio"/>
    <n v="84.6"/>
    <n v="87.779480000000007"/>
    <d v="2017-05-01T00:00:00"/>
    <x v="4"/>
    <x v="6"/>
  </r>
  <r>
    <s v="São Paulo"/>
    <s v="Transportes, serviços auxiliares aos transportes e correio"/>
    <n v="87.57"/>
    <n v="87.268159999999995"/>
    <d v="2017-06-01T00:00:00"/>
    <x v="5"/>
    <x v="6"/>
  </r>
  <r>
    <s v="São Paulo"/>
    <s v="Transportes, serviços auxiliares aos transportes e correio"/>
    <n v="86.78"/>
    <n v="87.44511"/>
    <d v="2017-07-01T00:00:00"/>
    <x v="6"/>
    <x v="6"/>
  </r>
  <r>
    <s v="São Paulo"/>
    <s v="Transportes, serviços auxiliares aos transportes e correio"/>
    <n v="86.62"/>
    <n v="92.82826"/>
    <d v="2017-08-01T00:00:00"/>
    <x v="7"/>
    <x v="6"/>
  </r>
  <r>
    <s v="São Paulo"/>
    <s v="Transportes, serviços auxiliares aos transportes e correio"/>
    <n v="85.15"/>
    <n v="87.999660000000006"/>
    <d v="2017-09-01T00:00:00"/>
    <x v="8"/>
    <x v="6"/>
  </r>
  <r>
    <s v="São Paulo"/>
    <s v="Transportes, serviços auxiliares aos transportes e correio"/>
    <n v="86.7"/>
    <n v="90.786249999999995"/>
    <d v="2017-10-01T00:00:00"/>
    <x v="9"/>
    <x v="6"/>
  </r>
  <r>
    <s v="São Paulo"/>
    <s v="Transportes, serviços auxiliares aos transportes e correio"/>
    <n v="87.09"/>
    <n v="89.729370000000003"/>
    <d v="2017-11-01T00:00:00"/>
    <x v="10"/>
    <x v="6"/>
  </r>
  <r>
    <s v="São Paulo"/>
    <s v="Transportes, serviços auxiliares aos transportes e correio"/>
    <n v="88.84"/>
    <n v="90.660899999999998"/>
    <d v="2017-12-01T00:00:00"/>
    <x v="11"/>
    <x v="6"/>
  </r>
  <r>
    <s v="São Paulo"/>
    <s v="Transportes, serviços auxiliares aos transportes e correio"/>
    <n v="86.53"/>
    <n v="81.546779999999998"/>
    <d v="2018-01-01T00:00:00"/>
    <x v="0"/>
    <x v="7"/>
  </r>
  <r>
    <s v="São Paulo"/>
    <s v="Transportes, serviços auxiliares aos transportes e correio"/>
    <n v="85.77"/>
    <n v="74.66686"/>
    <d v="2018-02-01T00:00:00"/>
    <x v="1"/>
    <x v="7"/>
  </r>
  <r>
    <s v="São Paulo"/>
    <s v="Transportes, serviços auxiliares aos transportes e correio"/>
    <n v="86.65"/>
    <n v="84.302000000000007"/>
    <d v="2018-03-01T00:00:00"/>
    <x v="2"/>
    <x v="7"/>
  </r>
  <r>
    <s v="São Paulo"/>
    <s v="Transportes, serviços auxiliares aos transportes e correio"/>
    <n v="87.12"/>
    <n v="83.746449999999996"/>
    <d v="2018-04-01T00:00:00"/>
    <x v="3"/>
    <x v="7"/>
  </r>
  <r>
    <s v="São Paulo"/>
    <s v="Transportes, serviços auxiliares aos transportes e correio"/>
    <n v="79.97"/>
    <n v="83.253699999999995"/>
    <d v="2018-05-01T00:00:00"/>
    <x v="4"/>
    <x v="7"/>
  </r>
  <r>
    <s v="São Paulo"/>
    <s v="Transportes, serviços auxiliares aos transportes e correio"/>
    <n v="93.57"/>
    <n v="92.842290000000006"/>
    <d v="2018-06-01T00:00:00"/>
    <x v="5"/>
    <x v="7"/>
  </r>
  <r>
    <s v="São Paulo"/>
    <s v="Transportes, serviços auxiliares aos transportes e correio"/>
    <n v="88.13"/>
    <n v="89.729339999999993"/>
    <d v="2018-07-01T00:00:00"/>
    <x v="6"/>
    <x v="7"/>
  </r>
  <r>
    <s v="São Paulo"/>
    <s v="Transportes, serviços auxiliares aos transportes e correio"/>
    <n v="88.41"/>
    <n v="94.494389999999996"/>
    <d v="2018-08-01T00:00:00"/>
    <x v="7"/>
    <x v="7"/>
  </r>
  <r>
    <s v="São Paulo"/>
    <s v="Transportes, serviços auxiliares aos transportes e correio"/>
    <n v="88"/>
    <n v="89.461010000000002"/>
    <d v="2018-09-01T00:00:00"/>
    <x v="8"/>
    <x v="7"/>
  </r>
  <r>
    <s v="São Paulo"/>
    <s v="Transportes, serviços auxiliares aos transportes e correio"/>
    <n v="87.03"/>
    <n v="92.061369999999997"/>
    <d v="2018-10-01T00:00:00"/>
    <x v="9"/>
    <x v="7"/>
  </r>
  <r>
    <s v="São Paulo"/>
    <s v="Transportes, serviços auxiliares aos transportes e correio"/>
    <n v="87.57"/>
    <n v="90.123260000000002"/>
    <d v="2018-11-01T00:00:00"/>
    <x v="10"/>
    <x v="7"/>
  </r>
  <r>
    <s v="São Paulo"/>
    <s v="Transportes, serviços auxiliares aos transportes e correio"/>
    <n v="85.99"/>
    <n v="87.716740000000001"/>
    <d v="2018-12-01T00:00:00"/>
    <x v="11"/>
    <x v="7"/>
  </r>
  <r>
    <s v="São Paulo"/>
    <s v="Transportes, serviços auxiliares aos transportes e correio"/>
    <n v="85.38"/>
    <n v="81.082080000000005"/>
    <d v="2019-01-01T00:00:00"/>
    <x v="0"/>
    <x v="8"/>
  </r>
  <r>
    <s v="São Paulo"/>
    <s v="Transportes, serviços auxiliares aos transportes e correio"/>
    <n v="80.900000000000006"/>
    <n v="74.608249999999998"/>
    <d v="2019-02-01T00:00:00"/>
    <x v="1"/>
    <x v="8"/>
  </r>
  <r>
    <s v="São Paulo"/>
    <s v="Transportes, serviços auxiliares aos transportes e correio"/>
    <n v="83.66"/>
    <n v="77.64085"/>
    <d v="2019-03-01T00:00:00"/>
    <x v="2"/>
    <x v="8"/>
  </r>
  <r>
    <s v="São Paulo"/>
    <s v="Transportes, serviços auxiliares aos transportes e correio"/>
    <n v="83.23"/>
    <n v="79.262010000000004"/>
    <d v="2019-04-01T00:00:00"/>
    <x v="3"/>
    <x v="8"/>
  </r>
  <r>
    <s v="São Paulo"/>
    <s v="Transportes, serviços auxiliares aos transportes e correio"/>
    <n v="83.64"/>
    <n v="86.926180000000002"/>
    <d v="2019-05-01T00:00:00"/>
    <x v="4"/>
    <x v="8"/>
  </r>
  <r>
    <s v="São Paulo"/>
    <s v="Transportes, serviços auxiliares aos transportes e correio"/>
    <n v="81.45"/>
    <n v="79.878119999999996"/>
    <d v="2019-06-01T00:00:00"/>
    <x v="5"/>
    <x v="8"/>
  </r>
  <r>
    <s v="São Paulo"/>
    <s v="Transportes, serviços auxiliares aos transportes e correio"/>
    <n v="83.56"/>
    <n v="86.49776"/>
    <d v="2019-07-01T00:00:00"/>
    <x v="6"/>
    <x v="8"/>
  </r>
  <r>
    <s v="São Paulo"/>
    <s v="Transportes, serviços auxiliares aos transportes e correio"/>
    <n v="81.040000000000006"/>
    <n v="85.535560000000004"/>
    <d v="2019-08-01T00:00:00"/>
    <x v="7"/>
    <x v="8"/>
  </r>
  <r>
    <s v="São Paulo"/>
    <s v="Transportes, serviços auxiliares aos transportes e correio"/>
    <n v="86.7"/>
    <n v="88.55874"/>
    <d v="2019-09-01T00:00:00"/>
    <x v="8"/>
    <x v="8"/>
  </r>
  <r>
    <s v="São Paulo"/>
    <s v="Transportes, serviços auxiliares aos transportes e correio"/>
    <n v="87.77"/>
    <n v="92.331440000000001"/>
    <d v="2019-10-01T00:00:00"/>
    <x v="9"/>
    <x v="8"/>
  </r>
  <r>
    <s v="São Paulo"/>
    <s v="Transportes, serviços auxiliares aos transportes e correio"/>
    <n v="85.26"/>
    <n v="86.958780000000004"/>
    <d v="2019-11-01T00:00:00"/>
    <x v="10"/>
    <x v="8"/>
  </r>
  <r>
    <s v="São Paulo"/>
    <s v="Transportes, serviços auxiliares aos transportes e correio"/>
    <n v="85.12"/>
    <n v="88.014750000000006"/>
    <d v="2019-12-01T00:00:00"/>
    <x v="11"/>
    <x v="8"/>
  </r>
  <r>
    <s v="São Paulo"/>
    <s v="Transportes, serviços auxiliares aos transportes e correio"/>
    <n v="85.34"/>
    <n v="81.365660000000005"/>
    <d v="2020-01-01T00:00:00"/>
    <x v="0"/>
    <x v="9"/>
  </r>
  <r>
    <s v="São Paulo"/>
    <s v="Transportes, serviços auxiliares aos transportes e correio"/>
    <n v="84.54"/>
    <n v="76.150469999999999"/>
    <d v="2020-02-01T00:00:00"/>
    <x v="1"/>
    <x v="9"/>
  </r>
  <r>
    <s v="São Paulo"/>
    <s v="Transportes, serviços auxiliares aos transportes e correio"/>
    <n v="79.78"/>
    <n v="79.056269999999998"/>
    <d v="2020-03-01T00:00:00"/>
    <x v="2"/>
    <x v="9"/>
  </r>
  <r>
    <s v="São Paulo"/>
    <s v="Transportes, serviços auxiliares aos transportes e correio"/>
    <n v="63.82"/>
    <n v="60.855170000000001"/>
    <d v="2020-04-01T00:00:00"/>
    <x v="3"/>
    <x v="9"/>
  </r>
  <r>
    <s v="São Paulo"/>
    <s v="Transportes, serviços auxiliares aos transportes e correio"/>
    <n v="64.92"/>
    <n v="65.825590000000005"/>
    <d v="2020-05-01T00:00:00"/>
    <x v="4"/>
    <x v="9"/>
  </r>
  <r>
    <s v="São Paulo"/>
    <s v="Transportes, serviços auxiliares aos transportes e correio"/>
    <n v="69.95"/>
    <n v="70.180539999999993"/>
    <d v="2020-06-01T00:00:00"/>
    <x v="5"/>
    <x v="9"/>
  </r>
  <r>
    <s v="São Paulo"/>
    <s v="Transportes, serviços auxiliares aos transportes e correio"/>
    <n v="72.23"/>
    <n v="74.806799999999996"/>
    <d v="2020-07-01T00:00:00"/>
    <x v="6"/>
    <x v="9"/>
  </r>
  <r>
    <s v="São Paulo"/>
    <s v="Transportes, serviços auxiliares aos transportes e correio"/>
    <n v="74.260000000000005"/>
    <n v="77.115729999999999"/>
    <d v="2020-08-01T00:00:00"/>
    <x v="7"/>
    <x v="9"/>
  </r>
  <r>
    <s v="São Paulo"/>
    <s v="Transportes, serviços auxiliares aos transportes e correio"/>
    <n v="77.33"/>
    <n v="80.3887"/>
    <d v="2020-09-01T00:00:00"/>
    <x v="8"/>
    <x v="9"/>
  </r>
  <r>
    <s v="São Paulo"/>
    <s v="Transportes, serviços auxiliares aos transportes e correio"/>
    <n v="78.81"/>
    <n v="81.274839999999998"/>
    <d v="2020-10-01T00:00:00"/>
    <x v="9"/>
    <x v="9"/>
  </r>
  <r>
    <s v="São Paulo"/>
    <s v="Transportes, serviços auxiliares aos transportes e correio"/>
    <n v="81.62"/>
    <n v="82.398679999999999"/>
    <d v="2020-11-01T00:00:00"/>
    <x v="10"/>
    <x v="9"/>
  </r>
  <r>
    <s v="São Paulo"/>
    <s v="Transportes, serviços auxiliares aos transportes e correio"/>
    <n v="79.680000000000007"/>
    <n v="84.032070000000004"/>
    <d v="2020-12-01T00:00:00"/>
    <x v="11"/>
    <x v="9"/>
  </r>
  <r>
    <s v="São Paulo"/>
    <s v="Transportes, serviços auxiliares aos transportes e correio"/>
    <n v="81.02"/>
    <n v="75.697159999999997"/>
    <d v="2021-01-01T00:00:00"/>
    <x v="0"/>
    <x v="10"/>
  </r>
  <r>
    <s v="São Paulo"/>
    <s v="Transportes, serviços auxiliares aos transportes e correio"/>
    <n v="84.9"/>
    <n v="74.633390000000006"/>
    <d v="2021-02-01T00:00:00"/>
    <x v="1"/>
    <x v="10"/>
  </r>
  <r>
    <s v="São Paulo"/>
    <s v="Transportes, serviços auxiliares aos transportes e correio"/>
    <n v="80.86"/>
    <n v="81.752219999999994"/>
    <d v="2021-03-01T00:00:00"/>
    <x v="2"/>
    <x v="10"/>
  </r>
  <r>
    <s v="São Paulo"/>
    <s v="Transportes, serviços auxiliares aos transportes e correio"/>
    <n v="82.47"/>
    <n v="78.540809999999993"/>
    <d v="2021-04-01T00:00:00"/>
    <x v="3"/>
    <x v="10"/>
  </r>
  <r>
    <s v="São Paulo"/>
    <s v="Transportes, serviços auxiliares aos transportes e correio"/>
    <n v="86.05"/>
    <n v="86.877949999999998"/>
    <d v="2021-05-01T00:00:00"/>
    <x v="4"/>
    <x v="10"/>
  </r>
  <r>
    <s v="São Paulo"/>
    <s v="Transportes, serviços auxiliares aos transportes e correio"/>
    <n v="87.09"/>
    <n v="87.81362"/>
    <d v="2021-06-01T00:00:00"/>
    <x v="5"/>
    <x v="10"/>
  </r>
  <r>
    <s v="São Paulo"/>
    <s v="Transportes, serviços auxiliares aos transportes e correio"/>
    <n v="85.38"/>
    <n v="87.461820000000003"/>
    <d v="2021-07-01T00:00:00"/>
    <x v="6"/>
    <x v="10"/>
  </r>
  <r>
    <s v="São Paulo"/>
    <s v="Transportes, serviços auxiliares aos transportes e correio"/>
    <n v="87.87"/>
    <n v="92.107389999999995"/>
    <d v="2021-08-01T00:00:00"/>
    <x v="7"/>
    <x v="10"/>
  </r>
  <r>
    <s v="São Paulo"/>
    <s v="Transportes, serviços auxiliares aos transportes e correio"/>
    <n v="85.41"/>
    <n v="88.386070000000004"/>
    <d v="2021-09-01T00:00:00"/>
    <x v="8"/>
    <x v="10"/>
  </r>
  <r>
    <s v="São Paulo"/>
    <s v="Transportes, serviços auxiliares aos transportes e correio"/>
    <n v="87.45"/>
    <n v="88.611329999999995"/>
    <d v="2021-10-01T00:00:00"/>
    <x v="9"/>
    <x v="10"/>
  </r>
  <r>
    <s v="São Paulo"/>
    <s v="Transportes, serviços auxiliares aos transportes e correio"/>
    <n v="89.57"/>
    <n v="91.522679999999994"/>
    <d v="2021-11-01T00:00:00"/>
    <x v="10"/>
    <x v="10"/>
  </r>
  <r>
    <s v="São Paulo"/>
    <s v="Transportes, serviços auxiliares aos transportes e correio"/>
    <n v="93.42"/>
    <n v="98.357730000000004"/>
    <d v="2021-12-01T00:00:00"/>
    <x v="11"/>
    <x v="10"/>
  </r>
  <r>
    <s v="São Paulo"/>
    <s v="Transportes, serviços auxiliares aos transportes e correio"/>
    <n v="96.64"/>
    <n v="90.383359999999996"/>
    <d v="2022-01-01T00:00:00"/>
    <x v="0"/>
    <x v="11"/>
  </r>
  <r>
    <s v="São Paulo"/>
    <s v="Transportes, serviços auxiliares aos transportes e correio"/>
    <n v="98.12"/>
    <n v="86.553910000000002"/>
    <d v="2022-02-01T00:00:00"/>
    <x v="1"/>
    <x v="11"/>
  </r>
  <r>
    <s v="São Paulo"/>
    <s v="Transportes, serviços auxiliares aos transportes e correio"/>
    <n v="98.77"/>
    <n v="100.23121"/>
    <d v="2022-03-01T00:00:00"/>
    <x v="2"/>
    <x v="11"/>
  </r>
  <r>
    <s v="São Paulo"/>
    <s v="Transportes, serviços auxiliares aos transportes e correio"/>
    <n v="97.59"/>
    <n v="92.408360000000002"/>
    <d v="2022-04-01T00:00:00"/>
    <x v="3"/>
    <x v="11"/>
  </r>
  <r>
    <s v="São Paulo"/>
    <s v="Transportes, serviços auxiliares aos transportes e correio"/>
    <n v="96.96"/>
    <n v="98.835700000000003"/>
    <d v="2022-05-01T00:00:00"/>
    <x v="4"/>
    <x v="11"/>
  </r>
  <r>
    <s v="São Paulo"/>
    <s v="Transportes, serviços auxiliares aos transportes e correio"/>
    <n v="97.74"/>
    <n v="98.584410000000005"/>
    <d v="2022-06-01T00:00:00"/>
    <x v="5"/>
    <x v="11"/>
  </r>
  <r>
    <s v="São Paulo"/>
    <s v="Transportes, serviços auxiliares aos transportes e correio"/>
    <n v="102.18"/>
    <n v="103.47065000000001"/>
    <d v="2022-07-01T00:00:00"/>
    <x v="6"/>
    <x v="11"/>
  </r>
  <r>
    <s v="São Paulo"/>
    <s v="Transportes, serviços auxiliares aos transportes e correio"/>
    <n v="103.3"/>
    <n v="109.82080999999999"/>
    <d v="2022-08-01T00:00:00"/>
    <x v="7"/>
    <x v="11"/>
  </r>
  <r>
    <s v="São Paulo"/>
    <s v="Transportes, serviços auxiliares aos transportes e correio"/>
    <n v="103.02"/>
    <n v="105.99217"/>
    <d v="2022-09-01T00:00:00"/>
    <x v="8"/>
    <x v="11"/>
  </r>
  <r>
    <s v="São Paulo"/>
    <s v="Transportes, serviços auxiliares aos transportes e correio"/>
    <n v="102.47"/>
    <n v="103.36602999999999"/>
    <d v="2022-10-01T00:00:00"/>
    <x v="9"/>
    <x v="11"/>
  </r>
  <r>
    <s v="São Paulo"/>
    <s v="Transportes, serviços auxiliares aos transportes e correio"/>
    <n v="101.15"/>
    <n v="103.4284"/>
    <d v="2022-11-01T00:00:00"/>
    <x v="10"/>
    <x v="11"/>
  </r>
  <r>
    <s v="São Paulo"/>
    <s v="Transportes, serviços auxiliares aos transportes e correio"/>
    <n v="102.77"/>
    <n v="106.92498999999999"/>
    <d v="2022-12-01T00:00:00"/>
    <x v="11"/>
    <x v="11"/>
  </r>
  <r>
    <s v="São Paulo"/>
    <s v="Transportes, serviços auxiliares aos transportes e correio"/>
    <n v="94.28"/>
    <n v="89.313100000000006"/>
    <d v="2023-01-01T00:00:00"/>
    <x v="0"/>
    <x v="12"/>
  </r>
  <r>
    <s v="São Paulo"/>
    <s v="Transportes, serviços auxiliares aos transportes e correio"/>
    <n v="99.21"/>
    <n v="87.622720000000001"/>
    <d v="2023-02-01T00:00:00"/>
    <x v="1"/>
    <x v="12"/>
  </r>
  <r>
    <s v="São Paulo"/>
    <s v="Transportes, serviços auxiliares aos transportes e correio"/>
    <n v="102.17"/>
    <n v="103.76802000000001"/>
    <d v="2023-03-01T00:00:00"/>
    <x v="2"/>
    <x v="12"/>
  </r>
  <r>
    <s v="São Paulo"/>
    <s v="Transportes, serviços auxiliares aos transportes e correio"/>
    <n v="97.23"/>
    <n v="91.145049999999998"/>
    <d v="2023-04-01T00:00:00"/>
    <x v="3"/>
    <x v="12"/>
  </r>
  <r>
    <s v="São Paulo"/>
    <s v="Transportes, serviços auxiliares aos transportes e correio"/>
    <n v="96.69"/>
    <n v="99.884060000000005"/>
    <d v="2023-05-01T00:00:00"/>
    <x v="4"/>
    <x v="12"/>
  </r>
  <r>
    <s v="São Paulo"/>
    <s v="Transportes, serviços auxiliares aos transportes e correio"/>
    <n v="92.96"/>
    <n v="93.730410000000006"/>
    <d v="2023-06-01T00:00:00"/>
    <x v="5"/>
    <x v="12"/>
  </r>
  <r>
    <s v="São Paulo"/>
    <s v="Transportes, serviços auxiliares aos transportes e correio"/>
    <n v="92.78"/>
    <n v="93.904030000000006"/>
    <d v="2023-07-01T00:00:00"/>
    <x v="6"/>
    <x v="12"/>
  </r>
  <r>
    <s v="São Paulo"/>
    <s v="Transportes, serviços auxiliares aos transportes e correio"/>
    <n v="89.28"/>
    <n v="94.891260000000003"/>
    <d v="2023-08-01T00:00:00"/>
    <x v="7"/>
    <x v="12"/>
  </r>
  <r>
    <s v="São Paulo"/>
    <s v="Transportes, serviços auxiliares aos transportes e correio"/>
    <n v="89.96"/>
    <n v="91.615480000000005"/>
    <d v="2023-09-01T00:00:00"/>
    <x v="8"/>
    <x v="12"/>
  </r>
  <r>
    <s v="São Paulo"/>
    <s v="Transportes, serviços auxiliares aos transportes e correio"/>
    <n v="88.54"/>
    <n v="90.367919999999998"/>
    <d v="2023-10-01T00:00:00"/>
    <x v="9"/>
    <x v="12"/>
  </r>
  <r>
    <s v="São Paulo"/>
    <s v="Transportes, serviços auxiliares aos transportes e correio"/>
    <n v="88.34"/>
    <n v="89.92259"/>
    <d v="2023-11-01T00:00:00"/>
    <x v="10"/>
    <x v="12"/>
  </r>
  <r>
    <s v="São Paulo"/>
    <s v="Transportes, serviços auxiliares aos transportes e correio"/>
    <n v="88.54"/>
    <n v="90.863150000000005"/>
    <d v="2023-12-01T00:00:00"/>
    <x v="11"/>
    <x v="12"/>
  </r>
  <r>
    <s v="São Paulo"/>
    <s v="Transportes, serviços auxiliares aos transportes e correio"/>
    <n v="93.1"/>
    <n v="89.563900000000004"/>
    <d v="2024-01-01T00:00:00"/>
    <x v="0"/>
    <x v="13"/>
  </r>
  <r>
    <s v="São Paulo"/>
    <s v="Transportes, serviços auxiliares aos transportes e correio"/>
    <n v="90.26"/>
    <n v="82.650580000000005"/>
    <d v="2024-02-01T00:00:00"/>
    <x v="1"/>
    <x v="13"/>
  </r>
  <r>
    <s v="São Paulo"/>
    <s v="Transportes, serviços auxiliares aos transportes e correio"/>
    <n v="90.74"/>
    <n v="87.936430000000001"/>
    <d v="2024-03-01T00:00:00"/>
    <x v="2"/>
    <x v="13"/>
  </r>
  <r>
    <s v="São Paulo"/>
    <s v="Transportes, serviços auxiliares aos transportes e correio"/>
    <n v="91.74"/>
    <n v="90.265339999999995"/>
    <d v="2024-04-01T00:00:00"/>
    <x v="3"/>
    <x v="13"/>
  </r>
  <r>
    <s v="São Paulo"/>
    <s v="Transportes, serviços auxiliares aos transportes e correio"/>
    <n v="87.6"/>
    <n v="89.553629999999998"/>
    <d v="2024-05-01T00:00:00"/>
    <x v="4"/>
    <x v="13"/>
  </r>
  <r>
    <s v="São Paulo"/>
    <s v="Transportes, serviços auxiliares aos transportes e correio"/>
    <n v="91.57"/>
    <n v="91.314279999999997"/>
    <d v="2024-06-01T00:00:00"/>
    <x v="5"/>
    <x v="13"/>
  </r>
  <r>
    <s v="São Paulo"/>
    <s v="Transportes, serviços auxiliares aos transportes e correio"/>
    <n v="89.56"/>
    <n v="93.357280000000003"/>
    <d v="2024-07-01T00:00:00"/>
    <x v="6"/>
    <x v="13"/>
  </r>
  <r>
    <s v="São Paulo"/>
    <s v="Transportes, serviços auxiliares aos transportes e correio"/>
    <n v="90.8"/>
    <n v="94.911680000000004"/>
    <d v="2024-08-01T00:00:00"/>
    <x v="7"/>
    <x v="13"/>
  </r>
  <r>
    <s v="São Paulo"/>
    <s v="Transportes, serviços auxiliares aos transportes e correio"/>
    <n v="91.02"/>
    <n v="92.098029999999994"/>
    <d v="2024-09-01T00:00:00"/>
    <x v="8"/>
    <x v="13"/>
  </r>
  <r>
    <s v="São Paulo"/>
    <s v="Transportes, serviços auxiliares aos transportes e correio"/>
    <n v="95.68"/>
    <n v="99.624859999999998"/>
    <d v="2024-10-01T00:00:00"/>
    <x v="9"/>
    <x v="13"/>
  </r>
  <r>
    <s v="São Paulo"/>
    <s v="Transportes, serviços auxiliares aos transportes e correio"/>
    <n v="91.99"/>
    <n v="92.470330000000004"/>
    <d v="2024-11-01T00:00:00"/>
    <x v="10"/>
    <x v="13"/>
  </r>
  <r>
    <s v="São Paulo"/>
    <s v="Transportes, serviços auxiliares aos transportes e correio"/>
    <n v="90.77"/>
    <n v="93.889279999999999"/>
    <d v="2024-12-01T00:00:00"/>
    <x v="11"/>
    <x v="13"/>
  </r>
  <r>
    <s v="São Paulo"/>
    <s v="Transportes, serviços auxiliares aos transportes e correio"/>
    <n v="91.36"/>
    <n v="87.695359999999994"/>
    <d v="2025-01-01T00:00:00"/>
    <x v="0"/>
    <x v="14"/>
  </r>
  <r>
    <s v="São Paulo"/>
    <s v="Transportes, serviços auxiliares aos transportes e correio"/>
    <n v="89.94"/>
    <n v="82.51558"/>
    <d v="2025-02-01T00:00:00"/>
    <x v="1"/>
    <x v="14"/>
  </r>
  <r>
    <s v="São Paulo"/>
    <s v="Transportes, serviços auxiliares aos transportes e correio"/>
    <n v="90.05"/>
    <n v="85.498159999999999"/>
    <d v="2025-03-01T00:00:00"/>
    <x v="2"/>
    <x v="14"/>
  </r>
  <r>
    <s v="São Paulo"/>
    <s v="Transportes, serviços auxiliares aos transportes e correio"/>
    <n v="91.22"/>
    <n v="88.462469999999996"/>
    <d v="2025-04-01T00:00:00"/>
    <x v="3"/>
    <x v="14"/>
  </r>
  <r>
    <s v="São Paulo"/>
    <s v="Transportes, serviços auxiliares aos transportes e correio"/>
    <n v="92.09"/>
    <n v="93.801959999999994"/>
    <d v="2025-05-01T00:00:00"/>
    <x v="4"/>
    <x v="14"/>
  </r>
  <r>
    <s v="São Paulo"/>
    <s v="Transportes, serviços auxiliares aos transportes e correio"/>
    <n v="93.92"/>
    <n v="93.63091"/>
    <d v="2025-06-01T00:00:00"/>
    <x v="5"/>
    <x v="14"/>
  </r>
  <r>
    <s v="São Paulo"/>
    <s v="Transportes, serviços auxiliares aos transportes e correio"/>
    <n v="94.26"/>
    <n v="98.420429999999996"/>
    <d v="2025-07-01T00:00:00"/>
    <x v="6"/>
    <x v="14"/>
  </r>
  <r>
    <s v="São Paulo"/>
    <s v="Transportes, serviços auxiliares aos transportes e correio"/>
    <n v="93.56"/>
    <n v="96.330960000000005"/>
    <d v="2025-08-01T00:00:00"/>
    <x v="7"/>
    <x v="14"/>
  </r>
  <r>
    <s v="São Paulo"/>
    <s v="Serviços profissionais, administrativos e complementares"/>
    <n v="103.1"/>
    <n v="100.2371"/>
    <d v="2011-01-01T00:00:00"/>
    <x v="0"/>
    <x v="0"/>
  </r>
  <r>
    <s v="São Paulo"/>
    <s v="Serviços profissionais, administrativos e complementares"/>
    <n v="105.54"/>
    <n v="100.18253"/>
    <d v="2011-02-01T00:00:00"/>
    <x v="1"/>
    <x v="0"/>
  </r>
  <r>
    <s v="São Paulo"/>
    <s v="Serviços profissionais, administrativos e complementares"/>
    <n v="105.81"/>
    <n v="102.07671000000001"/>
    <d v="2011-03-01T00:00:00"/>
    <x v="2"/>
    <x v="0"/>
  </r>
  <r>
    <s v="São Paulo"/>
    <s v="Serviços profissionais, administrativos e complementares"/>
    <n v="106.85"/>
    <n v="105.1336"/>
    <d v="2011-04-01T00:00:00"/>
    <x v="3"/>
    <x v="0"/>
  </r>
  <r>
    <s v="São Paulo"/>
    <s v="Serviços profissionais, administrativos e complementares"/>
    <n v="108.09"/>
    <n v="107.51837999999999"/>
    <d v="2011-05-01T00:00:00"/>
    <x v="4"/>
    <x v="0"/>
  </r>
  <r>
    <s v="São Paulo"/>
    <s v="Serviços profissionais, administrativos e complementares"/>
    <n v="107.22"/>
    <n v="104.59078"/>
    <d v="2011-06-01T00:00:00"/>
    <x v="5"/>
    <x v="0"/>
  </r>
  <r>
    <s v="São Paulo"/>
    <s v="Serviços profissionais, administrativos e complementares"/>
    <n v="106.23"/>
    <n v="105.97848"/>
    <d v="2011-07-01T00:00:00"/>
    <x v="6"/>
    <x v="0"/>
  </r>
  <r>
    <s v="São Paulo"/>
    <s v="Serviços profissionais, administrativos e complementares"/>
    <n v="111.51"/>
    <n v="109.96011"/>
    <d v="2011-08-01T00:00:00"/>
    <x v="7"/>
    <x v="0"/>
  </r>
  <r>
    <s v="São Paulo"/>
    <s v="Serviços profissionais, administrativos e complementares"/>
    <n v="107.97"/>
    <n v="106.31347"/>
    <d v="2011-09-01T00:00:00"/>
    <x v="8"/>
    <x v="0"/>
  </r>
  <r>
    <s v="São Paulo"/>
    <s v="Serviços profissionais, administrativos e complementares"/>
    <n v="105.25"/>
    <n v="106.76595"/>
    <d v="2011-10-01T00:00:00"/>
    <x v="9"/>
    <x v="0"/>
  </r>
  <r>
    <s v="São Paulo"/>
    <s v="Serviços profissionais, administrativos e complementares"/>
    <n v="110.22"/>
    <n v="114.32514"/>
    <d v="2011-11-01T00:00:00"/>
    <x v="10"/>
    <x v="0"/>
  </r>
  <r>
    <s v="São Paulo"/>
    <s v="Serviços profissionais, administrativos e complementares"/>
    <n v="107.88"/>
    <n v="122.52719"/>
    <d v="2011-12-01T00:00:00"/>
    <x v="11"/>
    <x v="0"/>
  </r>
  <r>
    <s v="São Paulo"/>
    <s v="Serviços profissionais, administrativos e complementares"/>
    <n v="110.09"/>
    <n v="107.40846999999999"/>
    <d v="2012-01-01T00:00:00"/>
    <x v="0"/>
    <x v="1"/>
  </r>
  <r>
    <s v="São Paulo"/>
    <s v="Serviços profissionais, administrativos e complementares"/>
    <n v="111.53"/>
    <n v="103.31067"/>
    <d v="2012-02-01T00:00:00"/>
    <x v="1"/>
    <x v="1"/>
  </r>
  <r>
    <s v="São Paulo"/>
    <s v="Serviços profissionais, administrativos e complementares"/>
    <n v="110.88"/>
    <n v="109.14321"/>
    <d v="2012-03-01T00:00:00"/>
    <x v="2"/>
    <x v="1"/>
  </r>
  <r>
    <s v="São Paulo"/>
    <s v="Serviços profissionais, administrativos e complementares"/>
    <n v="110.16"/>
    <n v="108.13535"/>
    <d v="2012-04-01T00:00:00"/>
    <x v="3"/>
    <x v="1"/>
  </r>
  <r>
    <s v="São Paulo"/>
    <s v="Serviços profissionais, administrativos e complementares"/>
    <n v="111.22"/>
    <n v="110.77567000000001"/>
    <d v="2012-05-01T00:00:00"/>
    <x v="4"/>
    <x v="1"/>
  </r>
  <r>
    <s v="São Paulo"/>
    <s v="Serviços profissionais, administrativos e complementares"/>
    <n v="111.48"/>
    <n v="109.16727"/>
    <d v="2012-06-01T00:00:00"/>
    <x v="5"/>
    <x v="1"/>
  </r>
  <r>
    <s v="São Paulo"/>
    <s v="Serviços profissionais, administrativos e complementares"/>
    <n v="112.64"/>
    <n v="112.92558"/>
    <d v="2012-07-01T00:00:00"/>
    <x v="6"/>
    <x v="1"/>
  </r>
  <r>
    <s v="São Paulo"/>
    <s v="Serviços profissionais, administrativos e complementares"/>
    <n v="110.21"/>
    <n v="108.41276000000001"/>
    <d v="2012-08-01T00:00:00"/>
    <x v="7"/>
    <x v="1"/>
  </r>
  <r>
    <s v="São Paulo"/>
    <s v="Serviços profissionais, administrativos e complementares"/>
    <n v="110.01"/>
    <n v="106.27497"/>
    <d v="2012-09-01T00:00:00"/>
    <x v="8"/>
    <x v="1"/>
  </r>
  <r>
    <s v="São Paulo"/>
    <s v="Serviços profissionais, administrativos e complementares"/>
    <n v="110.08"/>
    <n v="113.31802"/>
    <d v="2012-10-01T00:00:00"/>
    <x v="9"/>
    <x v="1"/>
  </r>
  <r>
    <s v="São Paulo"/>
    <s v="Serviços profissionais, administrativos e complementares"/>
    <n v="108.8"/>
    <n v="113.54907"/>
    <d v="2012-11-01T00:00:00"/>
    <x v="10"/>
    <x v="1"/>
  </r>
  <r>
    <s v="São Paulo"/>
    <s v="Serviços profissionais, administrativos e complementares"/>
    <n v="111.58"/>
    <n v="125.54719"/>
    <d v="2012-12-01T00:00:00"/>
    <x v="11"/>
    <x v="1"/>
  </r>
  <r>
    <s v="São Paulo"/>
    <s v="Serviços profissionais, administrativos e complementares"/>
    <n v="112.42"/>
    <n v="109.70937000000001"/>
    <d v="2013-01-01T00:00:00"/>
    <x v="0"/>
    <x v="2"/>
  </r>
  <r>
    <s v="São Paulo"/>
    <s v="Serviços profissionais, administrativos e complementares"/>
    <n v="110.98"/>
    <n v="103.31059999999999"/>
    <d v="2013-02-01T00:00:00"/>
    <x v="1"/>
    <x v="2"/>
  </r>
  <r>
    <s v="São Paulo"/>
    <s v="Serviços profissionais, administrativos e complementares"/>
    <n v="110.74"/>
    <n v="106.56596999999999"/>
    <d v="2013-03-01T00:00:00"/>
    <x v="2"/>
    <x v="2"/>
  </r>
  <r>
    <s v="São Paulo"/>
    <s v="Serviços profissionais, administrativos e complementares"/>
    <n v="111.44"/>
    <n v="111.91269"/>
    <d v="2013-04-01T00:00:00"/>
    <x v="3"/>
    <x v="2"/>
  </r>
  <r>
    <s v="São Paulo"/>
    <s v="Serviços profissionais, administrativos e complementares"/>
    <n v="110.47"/>
    <n v="110.12339"/>
    <d v="2013-05-01T00:00:00"/>
    <x v="4"/>
    <x v="2"/>
  </r>
  <r>
    <s v="São Paulo"/>
    <s v="Serviços profissionais, administrativos e complementares"/>
    <n v="112.26"/>
    <n v="108.9496"/>
    <d v="2013-06-01T00:00:00"/>
    <x v="5"/>
    <x v="2"/>
  </r>
  <r>
    <s v="São Paulo"/>
    <s v="Serviços profissionais, administrativos e complementares"/>
    <n v="112.15"/>
    <n v="113.84273"/>
    <d v="2013-07-01T00:00:00"/>
    <x v="6"/>
    <x v="2"/>
  </r>
  <r>
    <s v="São Paulo"/>
    <s v="Serviços profissionais, administrativos e complementares"/>
    <n v="113.22"/>
    <n v="110.81520999999999"/>
    <d v="2013-08-01T00:00:00"/>
    <x v="7"/>
    <x v="2"/>
  </r>
  <r>
    <s v="São Paulo"/>
    <s v="Serviços profissionais, administrativos e complementares"/>
    <n v="112.38"/>
    <n v="110.42402"/>
    <d v="2013-09-01T00:00:00"/>
    <x v="8"/>
    <x v="2"/>
  </r>
  <r>
    <s v="São Paulo"/>
    <s v="Serviços profissionais, administrativos e complementares"/>
    <n v="111.71"/>
    <n v="114.12143"/>
    <d v="2013-10-01T00:00:00"/>
    <x v="9"/>
    <x v="2"/>
  </r>
  <r>
    <s v="São Paulo"/>
    <s v="Serviços profissionais, administrativos e complementares"/>
    <n v="114.02"/>
    <n v="118.37894"/>
    <d v="2013-11-01T00:00:00"/>
    <x v="10"/>
    <x v="2"/>
  </r>
  <r>
    <s v="São Paulo"/>
    <s v="Serviços profissionais, administrativos e complementares"/>
    <n v="110.28"/>
    <n v="124.82702999999999"/>
    <d v="2013-12-01T00:00:00"/>
    <x v="11"/>
    <x v="2"/>
  </r>
  <r>
    <s v="São Paulo"/>
    <s v="Serviços profissionais, administrativos e complementares"/>
    <n v="118.24"/>
    <n v="115.90289"/>
    <d v="2014-01-01T00:00:00"/>
    <x v="0"/>
    <x v="3"/>
  </r>
  <r>
    <s v="São Paulo"/>
    <s v="Serviços profissionais, administrativos e complementares"/>
    <n v="112.47"/>
    <n v="105.14068"/>
    <d v="2014-02-01T00:00:00"/>
    <x v="1"/>
    <x v="3"/>
  </r>
  <r>
    <s v="São Paulo"/>
    <s v="Serviços profissionais, administrativos e complementares"/>
    <n v="112.02"/>
    <n v="108.39524"/>
    <d v="2014-03-01T00:00:00"/>
    <x v="2"/>
    <x v="3"/>
  </r>
  <r>
    <s v="São Paulo"/>
    <s v="Serviços profissionais, administrativos e complementares"/>
    <n v="112.31"/>
    <n v="110.44676"/>
    <d v="2014-04-01T00:00:00"/>
    <x v="3"/>
    <x v="3"/>
  </r>
  <r>
    <s v="São Paulo"/>
    <s v="Serviços profissionais, administrativos e complementares"/>
    <n v="112.55"/>
    <n v="112.31323999999999"/>
    <d v="2014-05-01T00:00:00"/>
    <x v="4"/>
    <x v="3"/>
  </r>
  <r>
    <s v="São Paulo"/>
    <s v="Serviços profissionais, administrativos e complementares"/>
    <n v="110.35"/>
    <n v="108.06383"/>
    <d v="2014-06-01T00:00:00"/>
    <x v="5"/>
    <x v="3"/>
  </r>
  <r>
    <s v="São Paulo"/>
    <s v="Serviços profissionais, administrativos e complementares"/>
    <n v="112.11"/>
    <n v="112.89013"/>
    <d v="2014-07-01T00:00:00"/>
    <x v="6"/>
    <x v="3"/>
  </r>
  <r>
    <s v="São Paulo"/>
    <s v="Serviços profissionais, administrativos e complementares"/>
    <n v="113.1"/>
    <n v="109.95343"/>
    <d v="2014-08-01T00:00:00"/>
    <x v="7"/>
    <x v="3"/>
  </r>
  <r>
    <s v="São Paulo"/>
    <s v="Serviços profissionais, administrativos e complementares"/>
    <n v="117.21"/>
    <n v="116.53166"/>
    <d v="2014-09-01T00:00:00"/>
    <x v="8"/>
    <x v="3"/>
  </r>
  <r>
    <s v="São Paulo"/>
    <s v="Serviços profissionais, administrativos e complementares"/>
    <n v="115.65"/>
    <n v="119.31353"/>
    <d v="2014-10-01T00:00:00"/>
    <x v="9"/>
    <x v="3"/>
  </r>
  <r>
    <s v="São Paulo"/>
    <s v="Serviços profissionais, administrativos e complementares"/>
    <n v="114.55"/>
    <n v="117.10787000000001"/>
    <d v="2014-11-01T00:00:00"/>
    <x v="10"/>
    <x v="3"/>
  </r>
  <r>
    <s v="São Paulo"/>
    <s v="Serviços profissionais, administrativos e complementares"/>
    <n v="116.7"/>
    <n v="132.89111"/>
    <d v="2014-12-01T00:00:00"/>
    <x v="11"/>
    <x v="3"/>
  </r>
  <r>
    <s v="São Paulo"/>
    <s v="Serviços profissionais, administrativos e complementares"/>
    <n v="118.03"/>
    <n v="113.97405999999999"/>
    <d v="2015-01-01T00:00:00"/>
    <x v="0"/>
    <x v="4"/>
  </r>
  <r>
    <s v="São Paulo"/>
    <s v="Serviços profissionais, administrativos e complementares"/>
    <n v="113.78"/>
    <n v="104.33298000000001"/>
    <d v="2015-02-01T00:00:00"/>
    <x v="1"/>
    <x v="4"/>
  </r>
  <r>
    <s v="São Paulo"/>
    <s v="Serviços profissionais, administrativos e complementares"/>
    <n v="118.41"/>
    <n v="116.03348"/>
    <d v="2015-03-01T00:00:00"/>
    <x v="2"/>
    <x v="4"/>
  </r>
  <r>
    <s v="São Paulo"/>
    <s v="Serviços profissionais, administrativos e complementares"/>
    <n v="117.29"/>
    <n v="115.59356"/>
    <d v="2015-04-01T00:00:00"/>
    <x v="3"/>
    <x v="4"/>
  </r>
  <r>
    <s v="São Paulo"/>
    <s v="Serviços profissionais, administrativos e complementares"/>
    <n v="116.01"/>
    <n v="114.94674999999999"/>
    <d v="2015-05-01T00:00:00"/>
    <x v="4"/>
    <x v="4"/>
  </r>
  <r>
    <s v="São Paulo"/>
    <s v="Serviços profissionais, administrativos e complementares"/>
    <n v="116.63"/>
    <n v="115.40106"/>
    <d v="2015-06-01T00:00:00"/>
    <x v="5"/>
    <x v="4"/>
  </r>
  <r>
    <s v="São Paulo"/>
    <s v="Serviços profissionais, administrativos e complementares"/>
    <n v="113.28"/>
    <n v="115.34016"/>
    <d v="2015-07-01T00:00:00"/>
    <x v="6"/>
    <x v="4"/>
  </r>
  <r>
    <s v="São Paulo"/>
    <s v="Serviços profissionais, administrativos e complementares"/>
    <n v="110.85"/>
    <n v="108.42182"/>
    <d v="2015-08-01T00:00:00"/>
    <x v="7"/>
    <x v="4"/>
  </r>
  <r>
    <s v="São Paulo"/>
    <s v="Serviços profissionais, administrativos e complementares"/>
    <n v="111.23"/>
    <n v="110.16776"/>
    <d v="2015-09-01T00:00:00"/>
    <x v="8"/>
    <x v="4"/>
  </r>
  <r>
    <s v="São Paulo"/>
    <s v="Serviços profissionais, administrativos e complementares"/>
    <n v="111.29"/>
    <n v="114.71038"/>
    <d v="2015-10-01T00:00:00"/>
    <x v="9"/>
    <x v="4"/>
  </r>
  <r>
    <s v="São Paulo"/>
    <s v="Serviços profissionais, administrativos e complementares"/>
    <n v="110.82"/>
    <n v="114.97358"/>
    <d v="2015-11-01T00:00:00"/>
    <x v="10"/>
    <x v="4"/>
  </r>
  <r>
    <s v="São Paulo"/>
    <s v="Serviços profissionais, administrativos e complementares"/>
    <n v="109.16"/>
    <n v="124.68794"/>
    <d v="2015-12-01T00:00:00"/>
    <x v="11"/>
    <x v="4"/>
  </r>
  <r>
    <s v="São Paulo"/>
    <s v="Serviços profissionais, administrativos e complementares"/>
    <n v="112.21"/>
    <n v="105.61015999999999"/>
    <d v="2016-01-01T00:00:00"/>
    <x v="0"/>
    <x v="5"/>
  </r>
  <r>
    <s v="São Paulo"/>
    <s v="Serviços profissionais, administrativos e complementares"/>
    <n v="112.15"/>
    <n v="101.62694"/>
    <d v="2016-02-01T00:00:00"/>
    <x v="1"/>
    <x v="5"/>
  </r>
  <r>
    <s v="São Paulo"/>
    <s v="Serviços profissionais, administrativos e complementares"/>
    <n v="112.79"/>
    <n v="108.71850999999999"/>
    <d v="2016-03-01T00:00:00"/>
    <x v="2"/>
    <x v="5"/>
  </r>
  <r>
    <s v="São Paulo"/>
    <s v="Serviços profissionais, administrativos e complementares"/>
    <n v="112.43"/>
    <n v="112.48465"/>
    <d v="2016-04-01T00:00:00"/>
    <x v="3"/>
    <x v="5"/>
  </r>
  <r>
    <s v="São Paulo"/>
    <s v="Serviços profissionais, administrativos e complementares"/>
    <n v="111.39"/>
    <n v="108.91942"/>
    <d v="2016-05-01T00:00:00"/>
    <x v="4"/>
    <x v="5"/>
  </r>
  <r>
    <s v="São Paulo"/>
    <s v="Serviços profissionais, administrativos e complementares"/>
    <n v="111.7"/>
    <n v="112.24771"/>
    <d v="2016-06-01T00:00:00"/>
    <x v="5"/>
    <x v="5"/>
  </r>
  <r>
    <s v="São Paulo"/>
    <s v="Serviços profissionais, administrativos e complementares"/>
    <n v="116.03"/>
    <n v="116.66691"/>
    <d v="2016-07-01T00:00:00"/>
    <x v="6"/>
    <x v="5"/>
  </r>
  <r>
    <s v="São Paulo"/>
    <s v="Serviços profissionais, administrativos e complementares"/>
    <n v="111.7"/>
    <n v="111.21062999999999"/>
    <d v="2016-08-01T00:00:00"/>
    <x v="7"/>
    <x v="5"/>
  </r>
  <r>
    <s v="São Paulo"/>
    <s v="Serviços profissionais, administrativos e complementares"/>
    <n v="111.17"/>
    <n v="111.38824"/>
    <d v="2016-09-01T00:00:00"/>
    <x v="8"/>
    <x v="5"/>
  </r>
  <r>
    <s v="São Paulo"/>
    <s v="Serviços profissionais, administrativos e complementares"/>
    <n v="110.79"/>
    <n v="113.78158000000001"/>
    <d v="2016-10-01T00:00:00"/>
    <x v="9"/>
    <x v="5"/>
  </r>
  <r>
    <s v="São Paulo"/>
    <s v="Serviços profissionais, administrativos e complementares"/>
    <n v="110.31"/>
    <n v="114.83633"/>
    <d v="2016-11-01T00:00:00"/>
    <x v="10"/>
    <x v="5"/>
  </r>
  <r>
    <s v="São Paulo"/>
    <s v="Serviços profissionais, administrativos e complementares"/>
    <n v="109.89"/>
    <n v="125.89606999999999"/>
    <d v="2016-12-01T00:00:00"/>
    <x v="11"/>
    <x v="5"/>
  </r>
  <r>
    <s v="São Paulo"/>
    <s v="Serviços profissionais, administrativos e complementares"/>
    <n v="106.06"/>
    <n v="98.447779999999995"/>
    <d v="2017-01-01T00:00:00"/>
    <x v="0"/>
    <x v="6"/>
  </r>
  <r>
    <s v="São Paulo"/>
    <s v="Serviços profissionais, administrativos e complementares"/>
    <n v="105.16"/>
    <n v="94.224189999999993"/>
    <d v="2017-02-01T00:00:00"/>
    <x v="1"/>
    <x v="6"/>
  </r>
  <r>
    <s v="São Paulo"/>
    <s v="Serviços profissionais, administrativos e complementares"/>
    <n v="105.32"/>
    <n v="103.52311"/>
    <d v="2017-03-01T00:00:00"/>
    <x v="2"/>
    <x v="6"/>
  </r>
  <r>
    <s v="São Paulo"/>
    <s v="Serviços profissionais, administrativos e complementares"/>
    <n v="106.32"/>
    <n v="102.85616"/>
    <d v="2017-04-01T00:00:00"/>
    <x v="3"/>
    <x v="6"/>
  </r>
  <r>
    <s v="São Paulo"/>
    <s v="Serviços profissionais, administrativos e complementares"/>
    <n v="107.78"/>
    <n v="109.30235"/>
    <d v="2017-05-01T00:00:00"/>
    <x v="4"/>
    <x v="6"/>
  </r>
  <r>
    <s v="São Paulo"/>
    <s v="Serviços profissionais, administrativos e complementares"/>
    <n v="108.89"/>
    <n v="107.8749"/>
    <d v="2017-06-01T00:00:00"/>
    <x v="5"/>
    <x v="6"/>
  </r>
  <r>
    <s v="São Paulo"/>
    <s v="Serviços profissionais, administrativos e complementares"/>
    <n v="110.15"/>
    <n v="111.14364"/>
    <d v="2017-07-01T00:00:00"/>
    <x v="6"/>
    <x v="6"/>
  </r>
  <r>
    <s v="São Paulo"/>
    <s v="Serviços profissionais, administrativos e complementares"/>
    <n v="110.13"/>
    <n v="108.8202"/>
    <d v="2017-08-01T00:00:00"/>
    <x v="7"/>
    <x v="6"/>
  </r>
  <r>
    <s v="São Paulo"/>
    <s v="Serviços profissionais, administrativos e complementares"/>
    <n v="107.17"/>
    <n v="107.62304"/>
    <d v="2017-09-01T00:00:00"/>
    <x v="8"/>
    <x v="6"/>
  </r>
  <r>
    <s v="São Paulo"/>
    <s v="Serviços profissionais, administrativos e complementares"/>
    <n v="106.81"/>
    <n v="110.21795"/>
    <d v="2017-10-01T00:00:00"/>
    <x v="9"/>
    <x v="6"/>
  </r>
  <r>
    <s v="São Paulo"/>
    <s v="Serviços profissionais, administrativos e complementares"/>
    <n v="105.3"/>
    <n v="110.24713"/>
    <d v="2017-11-01T00:00:00"/>
    <x v="10"/>
    <x v="6"/>
  </r>
  <r>
    <s v="São Paulo"/>
    <s v="Serviços profissionais, administrativos e complementares"/>
    <n v="109.36"/>
    <n v="124.46791"/>
    <d v="2017-12-01T00:00:00"/>
    <x v="11"/>
    <x v="6"/>
  </r>
  <r>
    <s v="São Paulo"/>
    <s v="Serviços profissionais, administrativos e complementares"/>
    <n v="106.41"/>
    <n v="98.992660000000001"/>
    <d v="2018-01-01T00:00:00"/>
    <x v="0"/>
    <x v="7"/>
  </r>
  <r>
    <s v="São Paulo"/>
    <s v="Serviços profissionais, administrativos e complementares"/>
    <n v="107.72"/>
    <n v="96.413889999999995"/>
    <d v="2018-02-01T00:00:00"/>
    <x v="1"/>
    <x v="7"/>
  </r>
  <r>
    <s v="São Paulo"/>
    <s v="Serviços profissionais, administrativos e complementares"/>
    <n v="107.59"/>
    <n v="103.46578"/>
    <d v="2018-03-01T00:00:00"/>
    <x v="2"/>
    <x v="7"/>
  </r>
  <r>
    <s v="São Paulo"/>
    <s v="Serviços profissionais, administrativos e complementares"/>
    <n v="109.35"/>
    <n v="108.60746"/>
    <d v="2018-04-01T00:00:00"/>
    <x v="3"/>
    <x v="7"/>
  </r>
  <r>
    <s v="São Paulo"/>
    <s v="Serviços profissionais, administrativos e complementares"/>
    <n v="107.91"/>
    <n v="108.55028"/>
    <d v="2018-05-01T00:00:00"/>
    <x v="4"/>
    <x v="7"/>
  </r>
  <r>
    <s v="São Paulo"/>
    <s v="Serviços profissionais, administrativos e complementares"/>
    <n v="107.29"/>
    <n v="106.18734000000001"/>
    <d v="2018-06-01T00:00:00"/>
    <x v="5"/>
    <x v="7"/>
  </r>
  <r>
    <s v="São Paulo"/>
    <s v="Serviços profissionais, administrativos e complementares"/>
    <n v="108.41"/>
    <n v="109.67899"/>
    <d v="2018-07-01T00:00:00"/>
    <x v="6"/>
    <x v="7"/>
  </r>
  <r>
    <s v="São Paulo"/>
    <s v="Serviços profissionais, administrativos e complementares"/>
    <n v="112.46"/>
    <n v="112.37733"/>
    <d v="2018-08-01T00:00:00"/>
    <x v="7"/>
    <x v="7"/>
  </r>
  <r>
    <s v="São Paulo"/>
    <s v="Serviços profissionais, administrativos e complementares"/>
    <n v="107.89"/>
    <n v="106.94492"/>
    <d v="2018-09-01T00:00:00"/>
    <x v="8"/>
    <x v="7"/>
  </r>
  <r>
    <s v="São Paulo"/>
    <s v="Serviços profissionais, administrativos e complementares"/>
    <n v="108.01"/>
    <n v="112.4679"/>
    <d v="2018-10-01T00:00:00"/>
    <x v="9"/>
    <x v="7"/>
  </r>
  <r>
    <s v="São Paulo"/>
    <s v="Serviços profissionais, administrativos e complementares"/>
    <n v="108.45"/>
    <n v="114.20858"/>
    <d v="2018-11-01T00:00:00"/>
    <x v="10"/>
    <x v="7"/>
  </r>
  <r>
    <s v="São Paulo"/>
    <s v="Serviços profissionais, administrativos e complementares"/>
    <n v="107.87"/>
    <n v="123.16107"/>
    <d v="2018-12-01T00:00:00"/>
    <x v="11"/>
    <x v="7"/>
  </r>
  <r>
    <s v="São Paulo"/>
    <s v="Serviços profissionais, administrativos e complementares"/>
    <n v="106.03"/>
    <n v="97.074190000000002"/>
    <d v="2019-01-01T00:00:00"/>
    <x v="0"/>
    <x v="8"/>
  </r>
  <r>
    <s v="São Paulo"/>
    <s v="Serviços profissionais, administrativos e complementares"/>
    <n v="107.68"/>
    <n v="97.916179999999997"/>
    <d v="2019-02-01T00:00:00"/>
    <x v="1"/>
    <x v="8"/>
  </r>
  <r>
    <s v="São Paulo"/>
    <s v="Serviços profissionais, administrativos e complementares"/>
    <n v="107.65"/>
    <n v="102.53971"/>
    <d v="2019-03-01T00:00:00"/>
    <x v="2"/>
    <x v="8"/>
  </r>
  <r>
    <s v="São Paulo"/>
    <s v="Serviços profissionais, administrativos e complementares"/>
    <n v="107.94"/>
    <n v="106.33384"/>
    <d v="2019-04-01T00:00:00"/>
    <x v="3"/>
    <x v="8"/>
  </r>
  <r>
    <s v="São Paulo"/>
    <s v="Serviços profissionais, administrativos e complementares"/>
    <n v="109.02"/>
    <n v="110.68397"/>
    <d v="2019-05-01T00:00:00"/>
    <x v="4"/>
    <x v="8"/>
  </r>
  <r>
    <s v="São Paulo"/>
    <s v="Serviços profissionais, administrativos e complementares"/>
    <n v="108.75"/>
    <n v="105.98827"/>
    <d v="2019-06-01T00:00:00"/>
    <x v="5"/>
    <x v="8"/>
  </r>
  <r>
    <s v="São Paulo"/>
    <s v="Serviços profissionais, administrativos e complementares"/>
    <n v="108.48"/>
    <n v="110.78194000000001"/>
    <d v="2019-07-01T00:00:00"/>
    <x v="6"/>
    <x v="8"/>
  </r>
  <r>
    <s v="São Paulo"/>
    <s v="Serviços profissionais, administrativos e complementares"/>
    <n v="108.73"/>
    <n v="108.22596"/>
    <d v="2019-08-01T00:00:00"/>
    <x v="7"/>
    <x v="8"/>
  </r>
  <r>
    <s v="São Paulo"/>
    <s v="Serviços profissionais, administrativos e complementares"/>
    <n v="111.53"/>
    <n v="112.30698"/>
    <d v="2019-09-01T00:00:00"/>
    <x v="8"/>
    <x v="8"/>
  </r>
  <r>
    <s v="São Paulo"/>
    <s v="Serviços profissionais, administrativos e complementares"/>
    <n v="112.14"/>
    <n v="114.97557999999999"/>
    <d v="2019-10-01T00:00:00"/>
    <x v="9"/>
    <x v="8"/>
  </r>
  <r>
    <s v="São Paulo"/>
    <s v="Serviços profissionais, administrativos e complementares"/>
    <n v="110.89"/>
    <n v="116.36729"/>
    <d v="2019-11-01T00:00:00"/>
    <x v="10"/>
    <x v="8"/>
  </r>
  <r>
    <s v="São Paulo"/>
    <s v="Serviços profissionais, administrativos e complementares"/>
    <n v="107.08"/>
    <n v="122.62264"/>
    <d v="2019-12-01T00:00:00"/>
    <x v="11"/>
    <x v="8"/>
  </r>
  <r>
    <s v="São Paulo"/>
    <s v="Serviços profissionais, administrativos e complementares"/>
    <n v="105.6"/>
    <n v="97.828689999999995"/>
    <d v="2020-01-01T00:00:00"/>
    <x v="0"/>
    <x v="9"/>
  </r>
  <r>
    <s v="São Paulo"/>
    <s v="Serviços profissionais, administrativos e complementares"/>
    <n v="106.28"/>
    <n v="93.274180000000001"/>
    <d v="2020-02-01T00:00:00"/>
    <x v="1"/>
    <x v="9"/>
  </r>
  <r>
    <s v="São Paulo"/>
    <s v="Serviços profissionais, administrativos e complementares"/>
    <n v="96.28"/>
    <n v="93.739810000000006"/>
    <d v="2020-03-01T00:00:00"/>
    <x v="2"/>
    <x v="9"/>
  </r>
  <r>
    <s v="São Paulo"/>
    <s v="Serviços profissionais, administrativos e complementares"/>
    <n v="85.47"/>
    <n v="82.884219999999999"/>
    <d v="2020-04-01T00:00:00"/>
    <x v="3"/>
    <x v="9"/>
  </r>
  <r>
    <s v="São Paulo"/>
    <s v="Serviços profissionais, administrativos e complementares"/>
    <n v="79.56"/>
    <n v="79.200509999999994"/>
    <d v="2020-05-01T00:00:00"/>
    <x v="4"/>
    <x v="9"/>
  </r>
  <r>
    <s v="São Paulo"/>
    <s v="Serviços profissionais, administrativos e complementares"/>
    <n v="81.38"/>
    <n v="81.417559999999995"/>
    <d v="2020-06-01T00:00:00"/>
    <x v="5"/>
    <x v="9"/>
  </r>
  <r>
    <s v="São Paulo"/>
    <s v="Serviços profissionais, administrativos e complementares"/>
    <n v="83.62"/>
    <n v="85.364450000000005"/>
    <d v="2020-07-01T00:00:00"/>
    <x v="6"/>
    <x v="9"/>
  </r>
  <r>
    <s v="São Paulo"/>
    <s v="Serviços profissionais, administrativos e complementares"/>
    <n v="86.14"/>
    <n v="85.005260000000007"/>
    <d v="2020-08-01T00:00:00"/>
    <x v="7"/>
    <x v="9"/>
  </r>
  <r>
    <s v="São Paulo"/>
    <s v="Serviços profissionais, administrativos e complementares"/>
    <n v="87.76"/>
    <n v="88.619640000000004"/>
    <d v="2020-09-01T00:00:00"/>
    <x v="8"/>
    <x v="9"/>
  </r>
  <r>
    <s v="São Paulo"/>
    <s v="Serviços profissionais, administrativos e complementares"/>
    <n v="89.51"/>
    <n v="92.070350000000005"/>
    <d v="2020-10-01T00:00:00"/>
    <x v="9"/>
    <x v="9"/>
  </r>
  <r>
    <s v="São Paulo"/>
    <s v="Serviços profissionais, administrativos e complementares"/>
    <n v="89.19"/>
    <n v="94.386250000000004"/>
    <d v="2020-11-01T00:00:00"/>
    <x v="10"/>
    <x v="9"/>
  </r>
  <r>
    <s v="São Paulo"/>
    <s v="Serviços profissionais, administrativos e complementares"/>
    <n v="88.03"/>
    <n v="103.59912"/>
    <d v="2020-12-01T00:00:00"/>
    <x v="11"/>
    <x v="9"/>
  </r>
  <r>
    <s v="São Paulo"/>
    <s v="Serviços profissionais, administrativos e complementares"/>
    <n v="92.39"/>
    <n v="83.510019999999997"/>
    <d v="2021-01-01T00:00:00"/>
    <x v="0"/>
    <x v="10"/>
  </r>
  <r>
    <s v="São Paulo"/>
    <s v="Serviços profissionais, administrativos e complementares"/>
    <n v="98.43"/>
    <n v="87.147900000000007"/>
    <d v="2021-02-01T00:00:00"/>
    <x v="1"/>
    <x v="10"/>
  </r>
  <r>
    <s v="São Paulo"/>
    <s v="Serviços profissionais, administrativos e complementares"/>
    <n v="90.16"/>
    <n v="89.741200000000006"/>
    <d v="2021-03-01T00:00:00"/>
    <x v="2"/>
    <x v="10"/>
  </r>
  <r>
    <s v="São Paulo"/>
    <s v="Serviços profissionais, administrativos e complementares"/>
    <n v="91.05"/>
    <n v="88.929479999999998"/>
    <d v="2021-04-01T00:00:00"/>
    <x v="3"/>
    <x v="10"/>
  </r>
  <r>
    <s v="São Paulo"/>
    <s v="Serviços profissionais, administrativos e complementares"/>
    <n v="92.29"/>
    <n v="91.41825"/>
    <d v="2021-05-01T00:00:00"/>
    <x v="4"/>
    <x v="10"/>
  </r>
  <r>
    <s v="São Paulo"/>
    <s v="Serviços profissionais, administrativos e complementares"/>
    <n v="93.03"/>
    <n v="92.589190000000002"/>
    <d v="2021-06-01T00:00:00"/>
    <x v="5"/>
    <x v="10"/>
  </r>
  <r>
    <s v="São Paulo"/>
    <s v="Serviços profissionais, administrativos e complementares"/>
    <n v="95.15"/>
    <n v="95.747550000000004"/>
    <d v="2021-07-01T00:00:00"/>
    <x v="6"/>
    <x v="10"/>
  </r>
  <r>
    <s v="São Paulo"/>
    <s v="Serviços profissionais, administrativos e complementares"/>
    <n v="93.61"/>
    <n v="92.843379999999996"/>
    <d v="2021-08-01T00:00:00"/>
    <x v="7"/>
    <x v="10"/>
  </r>
  <r>
    <s v="São Paulo"/>
    <s v="Serviços profissionais, administrativos e complementares"/>
    <n v="94.59"/>
    <n v="95.475380000000001"/>
    <d v="2021-09-01T00:00:00"/>
    <x v="8"/>
    <x v="10"/>
  </r>
  <r>
    <s v="São Paulo"/>
    <s v="Serviços profissionais, administrativos e complementares"/>
    <n v="92.7"/>
    <n v="93.78586"/>
    <d v="2021-10-01T00:00:00"/>
    <x v="9"/>
    <x v="10"/>
  </r>
  <r>
    <s v="São Paulo"/>
    <s v="Serviços profissionais, administrativos e complementares"/>
    <n v="92.49"/>
    <n v="98.751850000000005"/>
    <d v="2021-11-01T00:00:00"/>
    <x v="10"/>
    <x v="10"/>
  </r>
  <r>
    <s v="São Paulo"/>
    <s v="Serviços profissionais, administrativos e complementares"/>
    <n v="95.69"/>
    <n v="112.31542"/>
    <d v="2021-12-01T00:00:00"/>
    <x v="11"/>
    <x v="10"/>
  </r>
  <r>
    <s v="São Paulo"/>
    <s v="Serviços profissionais, administrativos e complementares"/>
    <n v="99.28"/>
    <n v="91.158270000000002"/>
    <d v="2022-01-01T00:00:00"/>
    <x v="0"/>
    <x v="11"/>
  </r>
  <r>
    <s v="São Paulo"/>
    <s v="Serviços profissionais, administrativos e complementares"/>
    <n v="102.47"/>
    <n v="91.085539999999995"/>
    <d v="2022-02-01T00:00:00"/>
    <x v="1"/>
    <x v="11"/>
  </r>
  <r>
    <s v="São Paulo"/>
    <s v="Serviços profissionais, administrativos e complementares"/>
    <n v="97.98"/>
    <n v="97.280289999999994"/>
    <d v="2022-03-01T00:00:00"/>
    <x v="2"/>
    <x v="11"/>
  </r>
  <r>
    <s v="São Paulo"/>
    <s v="Serviços profissionais, administrativos e complementares"/>
    <n v="98.86"/>
    <n v="96.265919999999994"/>
    <d v="2022-04-01T00:00:00"/>
    <x v="3"/>
    <x v="11"/>
  </r>
  <r>
    <s v="São Paulo"/>
    <s v="Serviços profissionais, administrativos e complementares"/>
    <n v="100.13"/>
    <n v="98.484870000000001"/>
    <d v="2022-05-01T00:00:00"/>
    <x v="4"/>
    <x v="11"/>
  </r>
  <r>
    <s v="São Paulo"/>
    <s v="Serviços profissionais, administrativos e complementares"/>
    <n v="101.25"/>
    <n v="101.21792000000001"/>
    <d v="2022-06-01T00:00:00"/>
    <x v="5"/>
    <x v="11"/>
  </r>
  <r>
    <s v="São Paulo"/>
    <s v="Serviços profissionais, administrativos e complementares"/>
    <n v="99.8"/>
    <n v="99.09348"/>
    <d v="2022-07-01T00:00:00"/>
    <x v="6"/>
    <x v="11"/>
  </r>
  <r>
    <s v="São Paulo"/>
    <s v="Serviços profissionais, administrativos e complementares"/>
    <n v="100.73"/>
    <n v="101.43836"/>
    <d v="2022-08-01T00:00:00"/>
    <x v="7"/>
    <x v="11"/>
  </r>
  <r>
    <s v="São Paulo"/>
    <s v="Serviços profissionais, administrativos e complementares"/>
    <n v="98.72"/>
    <n v="100.15380999999999"/>
    <d v="2022-09-01T00:00:00"/>
    <x v="8"/>
    <x v="11"/>
  </r>
  <r>
    <s v="São Paulo"/>
    <s v="Serviços profissionais, administrativos e complementares"/>
    <n v="98.96"/>
    <n v="100.09807000000001"/>
    <d v="2022-10-01T00:00:00"/>
    <x v="9"/>
    <x v="11"/>
  </r>
  <r>
    <s v="São Paulo"/>
    <s v="Serviços profissionais, administrativos e complementares"/>
    <n v="99.75"/>
    <n v="105.24583"/>
    <d v="2022-11-01T00:00:00"/>
    <x v="10"/>
    <x v="11"/>
  </r>
  <r>
    <s v="São Paulo"/>
    <s v="Serviços profissionais, administrativos e complementares"/>
    <n v="102.37"/>
    <n v="118.47765"/>
    <d v="2022-12-01T00:00:00"/>
    <x v="11"/>
    <x v="11"/>
  </r>
  <r>
    <s v="São Paulo"/>
    <s v="Serviços profissionais, administrativos e complementares"/>
    <n v="101.19"/>
    <n v="93.521559999999994"/>
    <d v="2023-01-01T00:00:00"/>
    <x v="0"/>
    <x v="12"/>
  </r>
  <r>
    <s v="São Paulo"/>
    <s v="Serviços profissionais, administrativos e complementares"/>
    <n v="100.17"/>
    <n v="88.694519999999997"/>
    <d v="2023-02-01T00:00:00"/>
    <x v="1"/>
    <x v="12"/>
  </r>
  <r>
    <s v="São Paulo"/>
    <s v="Serviços profissionais, administrativos e complementares"/>
    <n v="102.14"/>
    <n v="103.13124000000001"/>
    <d v="2023-03-01T00:00:00"/>
    <x v="2"/>
    <x v="12"/>
  </r>
  <r>
    <s v="São Paulo"/>
    <s v="Serviços profissionais, administrativos e complementares"/>
    <n v="102.7"/>
    <n v="98.128919999999994"/>
    <d v="2023-04-01T00:00:00"/>
    <x v="3"/>
    <x v="12"/>
  </r>
  <r>
    <s v="São Paulo"/>
    <s v="Serviços profissionais, administrativos e complementares"/>
    <n v="99.86"/>
    <n v="98.628200000000007"/>
    <d v="2023-05-01T00:00:00"/>
    <x v="4"/>
    <x v="12"/>
  </r>
  <r>
    <s v="São Paulo"/>
    <s v="Serviços profissionais, administrativos e complementares"/>
    <n v="100.71"/>
    <n v="101.43096"/>
    <d v="2023-06-01T00:00:00"/>
    <x v="5"/>
    <x v="12"/>
  </r>
  <r>
    <s v="São Paulo"/>
    <s v="Serviços profissionais, administrativos e complementares"/>
    <n v="100.75"/>
    <n v="100.09884"/>
    <d v="2023-07-01T00:00:00"/>
    <x v="6"/>
    <x v="12"/>
  </r>
  <r>
    <s v="São Paulo"/>
    <s v="Serviços profissionais, administrativos e complementares"/>
    <n v="112.12"/>
    <n v="111.82778999999999"/>
    <d v="2023-08-01T00:00:00"/>
    <x v="7"/>
    <x v="12"/>
  </r>
  <r>
    <s v="São Paulo"/>
    <s v="Serviços profissionais, administrativos e complementares"/>
    <n v="106.8"/>
    <n v="107.85603"/>
    <d v="2023-09-01T00:00:00"/>
    <x v="8"/>
    <x v="12"/>
  </r>
  <r>
    <s v="São Paulo"/>
    <s v="Serviços profissionais, administrativos e complementares"/>
    <n v="111.97"/>
    <n v="113.43781"/>
    <d v="2023-10-01T00:00:00"/>
    <x v="9"/>
    <x v="12"/>
  </r>
  <r>
    <s v="São Paulo"/>
    <s v="Serviços profissionais, administrativos e complementares"/>
    <n v="114.6"/>
    <n v="120.34742"/>
    <d v="2023-11-01T00:00:00"/>
    <x v="10"/>
    <x v="12"/>
  </r>
  <r>
    <s v="São Paulo"/>
    <s v="Serviços profissionais, administrativos e complementares"/>
    <n v="113.54"/>
    <n v="128.80306999999999"/>
    <d v="2023-12-01T00:00:00"/>
    <x v="11"/>
    <x v="12"/>
  </r>
  <r>
    <s v="São Paulo"/>
    <s v="Serviços profissionais, administrativos e complementares"/>
    <n v="114.42"/>
    <n v="107.9526"/>
    <d v="2024-01-01T00:00:00"/>
    <x v="0"/>
    <x v="13"/>
  </r>
  <r>
    <s v="São Paulo"/>
    <s v="Serviços profissionais, administrativos e complementares"/>
    <n v="115.63"/>
    <n v="102.67582"/>
    <d v="2024-02-01T00:00:00"/>
    <x v="1"/>
    <x v="13"/>
  </r>
  <r>
    <s v="São Paulo"/>
    <s v="Serviços profissionais, administrativos e complementares"/>
    <n v="117.96"/>
    <n v="116.34799"/>
    <d v="2024-03-01T00:00:00"/>
    <x v="2"/>
    <x v="13"/>
  </r>
  <r>
    <s v="São Paulo"/>
    <s v="Serviços profissionais, administrativos e complementares"/>
    <n v="115.54"/>
    <n v="114.88209999999999"/>
    <d v="2024-04-01T00:00:00"/>
    <x v="3"/>
    <x v="13"/>
  </r>
  <r>
    <s v="São Paulo"/>
    <s v="Serviços profissionais, administrativos e complementares"/>
    <n v="115.61"/>
    <n v="112.75922"/>
    <d v="2024-05-01T00:00:00"/>
    <x v="4"/>
    <x v="13"/>
  </r>
  <r>
    <s v="São Paulo"/>
    <s v="Serviços profissionais, administrativos e complementares"/>
    <n v="118.12"/>
    <n v="117.31310000000001"/>
    <d v="2024-06-01T00:00:00"/>
    <x v="5"/>
    <x v="13"/>
  </r>
  <r>
    <s v="São Paulo"/>
    <s v="Serviços profissionais, administrativos e complementares"/>
    <n v="116.8"/>
    <n v="117.57801000000001"/>
    <d v="2024-07-01T00:00:00"/>
    <x v="6"/>
    <x v="13"/>
  </r>
  <r>
    <s v="São Paulo"/>
    <s v="Serviços profissionais, administrativos e complementares"/>
    <n v="117.56"/>
    <n v="117.68250999999999"/>
    <d v="2024-08-01T00:00:00"/>
    <x v="7"/>
    <x v="13"/>
  </r>
  <r>
    <s v="São Paulo"/>
    <s v="Serviços profissionais, administrativos e complementares"/>
    <n v="120.32"/>
    <n v="121.06901000000001"/>
    <d v="2024-09-01T00:00:00"/>
    <x v="8"/>
    <x v="13"/>
  </r>
  <r>
    <s v="São Paulo"/>
    <s v="Serviços profissionais, administrativos e complementares"/>
    <n v="125.18"/>
    <n v="127.06708"/>
    <d v="2024-10-01T00:00:00"/>
    <x v="9"/>
    <x v="13"/>
  </r>
  <r>
    <s v="São Paulo"/>
    <s v="Serviços profissionais, administrativos e complementares"/>
    <n v="120.54"/>
    <n v="126.79261"/>
    <d v="2024-11-01T00:00:00"/>
    <x v="10"/>
    <x v="13"/>
  </r>
  <r>
    <s v="São Paulo"/>
    <s v="Serviços profissionais, administrativos e complementares"/>
    <n v="120.29"/>
    <n v="136.06507999999999"/>
    <d v="2024-12-01T00:00:00"/>
    <x v="11"/>
    <x v="13"/>
  </r>
  <r>
    <s v="São Paulo"/>
    <s v="Serviços profissionais, administrativos e complementares"/>
    <n v="120.11"/>
    <n v="113.21109"/>
    <d v="2025-01-01T00:00:00"/>
    <x v="0"/>
    <x v="14"/>
  </r>
  <r>
    <s v="São Paulo"/>
    <s v="Serviços profissionais, administrativos e complementares"/>
    <n v="120.98"/>
    <n v="110.44324"/>
    <d v="2025-02-01T00:00:00"/>
    <x v="1"/>
    <x v="14"/>
  </r>
  <r>
    <s v="São Paulo"/>
    <s v="Serviços profissionais, administrativos e complementares"/>
    <n v="122.54"/>
    <n v="121.85437"/>
    <d v="2025-03-01T00:00:00"/>
    <x v="2"/>
    <x v="14"/>
  </r>
  <r>
    <s v="São Paulo"/>
    <s v="Serviços profissionais, administrativos e complementares"/>
    <n v="122.9"/>
    <n v="119.77043999999999"/>
    <d v="2025-04-01T00:00:00"/>
    <x v="3"/>
    <x v="14"/>
  </r>
  <r>
    <s v="São Paulo"/>
    <s v="Serviços profissionais, administrativos e complementares"/>
    <n v="124.09"/>
    <n v="121.09811000000001"/>
    <d v="2025-05-01T00:00:00"/>
    <x v="4"/>
    <x v="14"/>
  </r>
  <r>
    <s v="São Paulo"/>
    <s v="Serviços profissionais, administrativos e complementares"/>
    <n v="125.04"/>
    <n v="124.87183"/>
    <d v="2025-06-01T00:00:00"/>
    <x v="5"/>
    <x v="14"/>
  </r>
  <r>
    <s v="São Paulo"/>
    <s v="Serviços profissionais, administrativos e complementares"/>
    <n v="126.92"/>
    <n v="126.47145999999999"/>
    <d v="2025-07-01T00:00:00"/>
    <x v="6"/>
    <x v="14"/>
  </r>
  <r>
    <s v="São Paulo"/>
    <s v="Serviços profissionais, administrativos e complementares"/>
    <n v="127.54"/>
    <n v="126.62820000000001"/>
    <d v="2025-08-01T00:00:00"/>
    <x v="7"/>
    <x v="14"/>
  </r>
  <r>
    <s v="São Paulo"/>
    <s v="Serviços de informação e comunicação"/>
    <n v="57.86"/>
    <n v="54.354689999999998"/>
    <d v="2011-01-01T00:00:00"/>
    <x v="0"/>
    <x v="0"/>
  </r>
  <r>
    <s v="São Paulo"/>
    <s v="Serviços de informação e comunicação"/>
    <n v="56.89"/>
    <n v="53.885449999999999"/>
    <d v="2011-02-01T00:00:00"/>
    <x v="1"/>
    <x v="0"/>
  </r>
  <r>
    <s v="São Paulo"/>
    <s v="Serviços de informação e comunicação"/>
    <n v="58.18"/>
    <n v="58.540959999999998"/>
    <d v="2011-03-01T00:00:00"/>
    <x v="2"/>
    <x v="0"/>
  </r>
  <r>
    <s v="São Paulo"/>
    <s v="Serviços de informação e comunicação"/>
    <n v="60.08"/>
    <n v="57.139429999999997"/>
    <d v="2011-04-01T00:00:00"/>
    <x v="3"/>
    <x v="0"/>
  </r>
  <r>
    <s v="São Paulo"/>
    <s v="Serviços de informação e comunicação"/>
    <n v="58.74"/>
    <n v="58.135629999999999"/>
    <d v="2011-05-01T00:00:00"/>
    <x v="4"/>
    <x v="0"/>
  </r>
  <r>
    <s v="São Paulo"/>
    <s v="Serviços de informação e comunicação"/>
    <n v="59.87"/>
    <n v="60.155239999999999"/>
    <d v="2011-06-01T00:00:00"/>
    <x v="5"/>
    <x v="0"/>
  </r>
  <r>
    <s v="São Paulo"/>
    <s v="Serviços de informação e comunicação"/>
    <n v="60.93"/>
    <n v="58.833069999999999"/>
    <d v="2011-07-01T00:00:00"/>
    <x v="6"/>
    <x v="0"/>
  </r>
  <r>
    <s v="São Paulo"/>
    <s v="Serviços de informação e comunicação"/>
    <n v="61.59"/>
    <n v="60.478050000000003"/>
    <d v="2011-08-01T00:00:00"/>
    <x v="7"/>
    <x v="0"/>
  </r>
  <r>
    <s v="São Paulo"/>
    <s v="Serviços de informação e comunicação"/>
    <n v="61.89"/>
    <n v="63.098030000000001"/>
    <d v="2011-09-01T00:00:00"/>
    <x v="8"/>
    <x v="0"/>
  </r>
  <r>
    <s v="São Paulo"/>
    <s v="Serviços de informação e comunicação"/>
    <n v="61.62"/>
    <n v="61.128230000000002"/>
    <d v="2011-10-01T00:00:00"/>
    <x v="9"/>
    <x v="0"/>
  </r>
  <r>
    <s v="São Paulo"/>
    <s v="Serviços de informação e comunicação"/>
    <n v="61.35"/>
    <n v="63.194400000000002"/>
    <d v="2011-11-01T00:00:00"/>
    <x v="10"/>
    <x v="0"/>
  </r>
  <r>
    <s v="São Paulo"/>
    <s v="Serviços de informação e comunicação"/>
    <n v="60.22"/>
    <n v="69.552049999999994"/>
    <d v="2011-12-01T00:00:00"/>
    <x v="11"/>
    <x v="0"/>
  </r>
  <r>
    <s v="São Paulo"/>
    <s v="Serviços de informação e comunicação"/>
    <n v="60.23"/>
    <n v="57.494709999999998"/>
    <d v="2012-01-01T00:00:00"/>
    <x v="0"/>
    <x v="1"/>
  </r>
  <r>
    <s v="São Paulo"/>
    <s v="Serviços de informação e comunicação"/>
    <n v="61.08"/>
    <n v="59.079810000000002"/>
    <d v="2012-02-01T00:00:00"/>
    <x v="1"/>
    <x v="1"/>
  </r>
  <r>
    <s v="São Paulo"/>
    <s v="Serviços de informação e comunicação"/>
    <n v="61.74"/>
    <n v="62.561590000000002"/>
    <d v="2012-03-01T00:00:00"/>
    <x v="2"/>
    <x v="1"/>
  </r>
  <r>
    <s v="São Paulo"/>
    <s v="Serviços de informação e comunicação"/>
    <n v="61"/>
    <n v="57.861519999999999"/>
    <d v="2012-04-01T00:00:00"/>
    <x v="3"/>
    <x v="1"/>
  </r>
  <r>
    <s v="São Paulo"/>
    <s v="Serviços de informação e comunicação"/>
    <n v="62.9"/>
    <n v="62.396340000000002"/>
    <d v="2012-05-01T00:00:00"/>
    <x v="4"/>
    <x v="1"/>
  </r>
  <r>
    <s v="São Paulo"/>
    <s v="Serviços de informação e comunicação"/>
    <n v="61.6"/>
    <n v="61.838630000000002"/>
    <d v="2012-06-01T00:00:00"/>
    <x v="5"/>
    <x v="1"/>
  </r>
  <r>
    <s v="São Paulo"/>
    <s v="Serviços de informação e comunicação"/>
    <n v="63.15"/>
    <n v="61.146030000000003"/>
    <d v="2012-07-01T00:00:00"/>
    <x v="6"/>
    <x v="1"/>
  </r>
  <r>
    <s v="São Paulo"/>
    <s v="Serviços de informação e comunicação"/>
    <n v="63.76"/>
    <n v="63.186810000000001"/>
    <d v="2012-08-01T00:00:00"/>
    <x v="7"/>
    <x v="1"/>
  </r>
  <r>
    <s v="São Paulo"/>
    <s v="Serviços de informação e comunicação"/>
    <n v="63.01"/>
    <n v="63.174959999999999"/>
    <d v="2012-09-01T00:00:00"/>
    <x v="8"/>
    <x v="1"/>
  </r>
  <r>
    <s v="São Paulo"/>
    <s v="Serviços de informação e comunicação"/>
    <n v="63.11"/>
    <n v="63.225360000000002"/>
    <d v="2012-10-01T00:00:00"/>
    <x v="9"/>
    <x v="1"/>
  </r>
  <r>
    <s v="São Paulo"/>
    <s v="Serviços de informação e comunicação"/>
    <n v="63.26"/>
    <n v="65.592219999999998"/>
    <d v="2012-11-01T00:00:00"/>
    <x v="10"/>
    <x v="1"/>
  </r>
  <r>
    <s v="São Paulo"/>
    <s v="Serviços de informação e comunicação"/>
    <n v="66.14"/>
    <n v="75.370620000000002"/>
    <d v="2012-12-01T00:00:00"/>
    <x v="11"/>
    <x v="1"/>
  </r>
  <r>
    <s v="São Paulo"/>
    <s v="Serviços de informação e comunicação"/>
    <n v="65.209999999999994"/>
    <n v="62.458089999999999"/>
    <d v="2013-01-01T00:00:00"/>
    <x v="0"/>
    <x v="2"/>
  </r>
  <r>
    <s v="São Paulo"/>
    <s v="Serviços de informação e comunicação"/>
    <n v="66.11"/>
    <n v="62.096469999999997"/>
    <d v="2013-02-01T00:00:00"/>
    <x v="1"/>
    <x v="2"/>
  </r>
  <r>
    <s v="São Paulo"/>
    <s v="Serviços de informação e comunicação"/>
    <n v="64.28"/>
    <n v="64.773719999999997"/>
    <d v="2013-03-01T00:00:00"/>
    <x v="2"/>
    <x v="2"/>
  </r>
  <r>
    <s v="São Paulo"/>
    <s v="Serviços de informação e comunicação"/>
    <n v="66.95"/>
    <n v="63.875030000000002"/>
    <d v="2013-04-01T00:00:00"/>
    <x v="3"/>
    <x v="2"/>
  </r>
  <r>
    <s v="São Paulo"/>
    <s v="Serviços de informação e comunicação"/>
    <n v="66.73"/>
    <n v="66.161670000000001"/>
    <d v="2013-05-01T00:00:00"/>
    <x v="4"/>
    <x v="2"/>
  </r>
  <r>
    <s v="São Paulo"/>
    <s v="Serviços de informação e comunicação"/>
    <n v="67.459999999999994"/>
    <n v="67.582470000000001"/>
    <d v="2013-06-01T00:00:00"/>
    <x v="5"/>
    <x v="2"/>
  </r>
  <r>
    <s v="São Paulo"/>
    <s v="Serviços de informação e comunicação"/>
    <n v="66.540000000000006"/>
    <n v="64.00882"/>
    <d v="2013-07-01T00:00:00"/>
    <x v="6"/>
    <x v="2"/>
  </r>
  <r>
    <s v="São Paulo"/>
    <s v="Serviços de informação e comunicação"/>
    <n v="65.7"/>
    <n v="64.77028"/>
    <d v="2013-08-01T00:00:00"/>
    <x v="7"/>
    <x v="2"/>
  </r>
  <r>
    <s v="São Paulo"/>
    <s v="Serviços de informação e comunicação"/>
    <n v="67.010000000000005"/>
    <n v="67.537490000000005"/>
    <d v="2013-09-01T00:00:00"/>
    <x v="8"/>
    <x v="2"/>
  </r>
  <r>
    <s v="São Paulo"/>
    <s v="Serviços de informação e comunicação"/>
    <n v="68.56"/>
    <n v="69.108400000000003"/>
    <d v="2013-10-01T00:00:00"/>
    <x v="9"/>
    <x v="2"/>
  </r>
  <r>
    <s v="São Paulo"/>
    <s v="Serviços de informação e comunicação"/>
    <n v="69.510000000000005"/>
    <n v="71.051429999999996"/>
    <d v="2013-11-01T00:00:00"/>
    <x v="10"/>
    <x v="2"/>
  </r>
  <r>
    <s v="São Paulo"/>
    <s v="Serviços de informação e comunicação"/>
    <n v="70.09"/>
    <n v="81.241280000000003"/>
    <d v="2013-12-01T00:00:00"/>
    <x v="11"/>
    <x v="2"/>
  </r>
  <r>
    <s v="São Paulo"/>
    <s v="Serviços de informação e comunicação"/>
    <n v="72.83"/>
    <n v="69.952969999999993"/>
    <d v="2014-01-01T00:00:00"/>
    <x v="0"/>
    <x v="3"/>
  </r>
  <r>
    <s v="São Paulo"/>
    <s v="Serviços de informação e comunicação"/>
    <n v="67.28"/>
    <n v="63.837629999999997"/>
    <d v="2014-02-01T00:00:00"/>
    <x v="1"/>
    <x v="3"/>
  </r>
  <r>
    <s v="São Paulo"/>
    <s v="Serviços de informação e comunicação"/>
    <n v="69.62"/>
    <n v="68.782150000000001"/>
    <d v="2014-03-01T00:00:00"/>
    <x v="2"/>
    <x v="3"/>
  </r>
  <r>
    <s v="São Paulo"/>
    <s v="Serviços de informação e comunicação"/>
    <n v="69.02"/>
    <n v="65.651809999999998"/>
    <d v="2014-04-01T00:00:00"/>
    <x v="3"/>
    <x v="3"/>
  </r>
  <r>
    <s v="São Paulo"/>
    <s v="Serviços de informação e comunicação"/>
    <n v="69.84"/>
    <n v="68.733360000000005"/>
    <d v="2014-05-01T00:00:00"/>
    <x v="4"/>
    <x v="3"/>
  </r>
  <r>
    <s v="São Paulo"/>
    <s v="Serviços de informação e comunicação"/>
    <n v="70.17"/>
    <n v="70.796760000000006"/>
    <d v="2014-06-01T00:00:00"/>
    <x v="5"/>
    <x v="3"/>
  </r>
  <r>
    <s v="São Paulo"/>
    <s v="Serviços de informação e comunicação"/>
    <n v="70.36"/>
    <n v="68.300169999999994"/>
    <d v="2014-07-01T00:00:00"/>
    <x v="6"/>
    <x v="3"/>
  </r>
  <r>
    <s v="São Paulo"/>
    <s v="Serviços de informação e comunicação"/>
    <n v="70.45"/>
    <n v="69.516549999999995"/>
    <d v="2014-08-01T00:00:00"/>
    <x v="7"/>
    <x v="3"/>
  </r>
  <r>
    <s v="São Paulo"/>
    <s v="Serviços de informação e comunicação"/>
    <n v="71.88"/>
    <n v="72.798370000000006"/>
    <d v="2014-09-01T00:00:00"/>
    <x v="8"/>
    <x v="3"/>
  </r>
  <r>
    <s v="São Paulo"/>
    <s v="Serviços de informação e comunicação"/>
    <n v="72.92"/>
    <n v="73.266999999999996"/>
    <d v="2014-10-01T00:00:00"/>
    <x v="9"/>
    <x v="3"/>
  </r>
  <r>
    <s v="São Paulo"/>
    <s v="Serviços de informação e comunicação"/>
    <n v="72.88"/>
    <n v="74.037949999999995"/>
    <d v="2014-11-01T00:00:00"/>
    <x v="10"/>
    <x v="3"/>
  </r>
  <r>
    <s v="São Paulo"/>
    <s v="Serviços de informação e comunicação"/>
    <n v="69.22"/>
    <n v="79.741150000000005"/>
    <d v="2014-12-01T00:00:00"/>
    <x v="11"/>
    <x v="3"/>
  </r>
  <r>
    <s v="São Paulo"/>
    <s v="Serviços de informação e comunicação"/>
    <n v="71.73"/>
    <n v="68.793300000000002"/>
    <d v="2015-01-01T00:00:00"/>
    <x v="0"/>
    <x v="4"/>
  </r>
  <r>
    <s v="São Paulo"/>
    <s v="Serviços de informação e comunicação"/>
    <n v="73.44"/>
    <n v="68.983729999999994"/>
    <d v="2015-02-01T00:00:00"/>
    <x v="1"/>
    <x v="4"/>
  </r>
  <r>
    <s v="São Paulo"/>
    <s v="Serviços de informação e comunicação"/>
    <n v="73.59"/>
    <n v="74.402410000000003"/>
    <d v="2015-03-01T00:00:00"/>
    <x v="2"/>
    <x v="4"/>
  </r>
  <r>
    <s v="São Paulo"/>
    <s v="Serviços de informação e comunicação"/>
    <n v="71.92"/>
    <n v="68.034809999999993"/>
    <d v="2015-04-01T00:00:00"/>
    <x v="3"/>
    <x v="4"/>
  </r>
  <r>
    <s v="São Paulo"/>
    <s v="Serviços de informação e comunicação"/>
    <n v="71.959999999999994"/>
    <n v="70.593140000000005"/>
    <d v="2015-05-01T00:00:00"/>
    <x v="4"/>
    <x v="4"/>
  </r>
  <r>
    <s v="São Paulo"/>
    <s v="Serviços de informação e comunicação"/>
    <n v="71.02"/>
    <n v="72.370130000000003"/>
    <d v="2015-06-01T00:00:00"/>
    <x v="5"/>
    <x v="4"/>
  </r>
  <r>
    <s v="São Paulo"/>
    <s v="Serviços de informação e comunicação"/>
    <n v="70.61"/>
    <n v="68.644760000000005"/>
    <d v="2015-07-01T00:00:00"/>
    <x v="6"/>
    <x v="4"/>
  </r>
  <r>
    <s v="São Paulo"/>
    <s v="Serviços de informação e comunicação"/>
    <n v="70.73"/>
    <n v="69.068790000000007"/>
    <d v="2015-08-01T00:00:00"/>
    <x v="7"/>
    <x v="4"/>
  </r>
  <r>
    <s v="São Paulo"/>
    <s v="Serviços de informação e comunicação"/>
    <n v="70.260000000000005"/>
    <n v="71.397260000000003"/>
    <d v="2015-09-01T00:00:00"/>
    <x v="8"/>
    <x v="4"/>
  </r>
  <r>
    <s v="São Paulo"/>
    <s v="Serviços de informação e comunicação"/>
    <n v="69.52"/>
    <n v="69.125370000000004"/>
    <d v="2015-10-01T00:00:00"/>
    <x v="9"/>
    <x v="4"/>
  </r>
  <r>
    <s v="São Paulo"/>
    <s v="Serviços de informação e comunicação"/>
    <n v="68.930000000000007"/>
    <n v="70.161299999999997"/>
    <d v="2015-11-01T00:00:00"/>
    <x v="10"/>
    <x v="4"/>
  </r>
  <r>
    <s v="São Paulo"/>
    <s v="Serviços de informação e comunicação"/>
    <n v="69.13"/>
    <n v="80.250559999999993"/>
    <d v="2015-12-01T00:00:00"/>
    <x v="11"/>
    <x v="4"/>
  </r>
  <r>
    <s v="São Paulo"/>
    <s v="Serviços de informação e comunicação"/>
    <n v="68.97"/>
    <n v="66.376990000000006"/>
    <d v="2016-01-01T00:00:00"/>
    <x v="0"/>
    <x v="5"/>
  </r>
  <r>
    <s v="São Paulo"/>
    <s v="Serviços de informação e comunicação"/>
    <n v="65.2"/>
    <n v="62.903230000000001"/>
    <d v="2016-02-01T00:00:00"/>
    <x v="1"/>
    <x v="5"/>
  </r>
  <r>
    <s v="São Paulo"/>
    <s v="Serviços de informação e comunicação"/>
    <n v="67.14"/>
    <n v="67.748760000000004"/>
    <d v="2016-03-01T00:00:00"/>
    <x v="2"/>
    <x v="5"/>
  </r>
  <r>
    <s v="São Paulo"/>
    <s v="Serviços de informação e comunicação"/>
    <n v="68.86"/>
    <n v="65.263360000000006"/>
    <d v="2016-04-01T00:00:00"/>
    <x v="3"/>
    <x v="5"/>
  </r>
  <r>
    <s v="São Paulo"/>
    <s v="Serviços de informação e comunicação"/>
    <n v="68.55"/>
    <n v="67.094939999999994"/>
    <d v="2016-05-01T00:00:00"/>
    <x v="4"/>
    <x v="5"/>
  </r>
  <r>
    <s v="São Paulo"/>
    <s v="Serviços de informação e comunicação"/>
    <n v="68.150000000000006"/>
    <n v="69.835409999999996"/>
    <d v="2016-06-01T00:00:00"/>
    <x v="5"/>
    <x v="5"/>
  </r>
  <r>
    <s v="São Paulo"/>
    <s v="Serviços de informação e comunicação"/>
    <n v="68.61"/>
    <n v="66.386849999999995"/>
    <d v="2016-07-01T00:00:00"/>
    <x v="6"/>
    <x v="5"/>
  </r>
  <r>
    <s v="São Paulo"/>
    <s v="Serviços de informação e comunicação"/>
    <n v="69.209999999999994"/>
    <n v="68.50385"/>
    <d v="2016-08-01T00:00:00"/>
    <x v="7"/>
    <x v="5"/>
  </r>
  <r>
    <s v="São Paulo"/>
    <s v="Serviços de informação e comunicação"/>
    <n v="69.67"/>
    <n v="71.299610000000001"/>
    <d v="2016-09-01T00:00:00"/>
    <x v="8"/>
    <x v="5"/>
  </r>
  <r>
    <s v="São Paulo"/>
    <s v="Serviços de informação e comunicação"/>
    <n v="68.099999999999994"/>
    <n v="66.54213"/>
    <d v="2016-10-01T00:00:00"/>
    <x v="9"/>
    <x v="5"/>
  </r>
  <r>
    <s v="São Paulo"/>
    <s v="Serviços de informação e comunicação"/>
    <n v="66.7"/>
    <n v="68.250529999999998"/>
    <d v="2016-11-01T00:00:00"/>
    <x v="10"/>
    <x v="5"/>
  </r>
  <r>
    <s v="São Paulo"/>
    <s v="Serviços de informação e comunicação"/>
    <n v="64.819999999999993"/>
    <n v="74.775630000000007"/>
    <d v="2016-12-01T00:00:00"/>
    <x v="11"/>
    <x v="5"/>
  </r>
  <r>
    <s v="São Paulo"/>
    <s v="Serviços de informação e comunicação"/>
    <n v="72.19"/>
    <n v="70.000749999999996"/>
    <d v="2017-01-01T00:00:00"/>
    <x v="0"/>
    <x v="6"/>
  </r>
  <r>
    <s v="São Paulo"/>
    <s v="Serviços de informação e comunicação"/>
    <n v="72.39"/>
    <n v="67.531959999999998"/>
    <d v="2017-02-01T00:00:00"/>
    <x v="1"/>
    <x v="6"/>
  </r>
  <r>
    <s v="São Paulo"/>
    <s v="Serviços de informação e comunicação"/>
    <n v="67.739999999999995"/>
    <n v="68.584069999999997"/>
    <d v="2017-03-01T00:00:00"/>
    <x v="2"/>
    <x v="6"/>
  </r>
  <r>
    <s v="São Paulo"/>
    <s v="Serviços de informação e comunicação"/>
    <n v="70.39"/>
    <n v="66.054320000000004"/>
    <d v="2017-04-01T00:00:00"/>
    <x v="3"/>
    <x v="6"/>
  </r>
  <r>
    <s v="São Paulo"/>
    <s v="Serviços de informação e comunicação"/>
    <n v="68.63"/>
    <n v="66.969170000000005"/>
    <d v="2017-05-01T00:00:00"/>
    <x v="4"/>
    <x v="6"/>
  </r>
  <r>
    <s v="São Paulo"/>
    <s v="Serviços de informação e comunicação"/>
    <n v="70.78"/>
    <n v="73.289050000000003"/>
    <d v="2017-06-01T00:00:00"/>
    <x v="5"/>
    <x v="6"/>
  </r>
  <r>
    <s v="São Paulo"/>
    <s v="Serviços de informação e comunicação"/>
    <n v="71"/>
    <n v="68.001609999999999"/>
    <d v="2017-07-01T00:00:00"/>
    <x v="6"/>
    <x v="6"/>
  </r>
  <r>
    <s v="São Paulo"/>
    <s v="Serviços de informação e comunicação"/>
    <n v="70.290000000000006"/>
    <n v="70.325770000000006"/>
    <d v="2017-08-01T00:00:00"/>
    <x v="7"/>
    <x v="6"/>
  </r>
  <r>
    <s v="São Paulo"/>
    <s v="Serviços de informação e comunicação"/>
    <n v="68.19"/>
    <n v="68.861429999999999"/>
    <d v="2017-09-01T00:00:00"/>
    <x v="8"/>
    <x v="6"/>
  </r>
  <r>
    <s v="São Paulo"/>
    <s v="Serviços de informação e comunicação"/>
    <n v="68.56"/>
    <n v="67.957390000000004"/>
    <d v="2017-10-01T00:00:00"/>
    <x v="9"/>
    <x v="6"/>
  </r>
  <r>
    <s v="São Paulo"/>
    <s v="Serviços de informação e comunicação"/>
    <n v="69.92"/>
    <n v="71.188980000000001"/>
    <d v="2017-11-01T00:00:00"/>
    <x v="10"/>
    <x v="6"/>
  </r>
  <r>
    <s v="São Paulo"/>
    <s v="Serviços de informação e comunicação"/>
    <n v="68.13"/>
    <n v="78.536510000000007"/>
    <d v="2017-12-01T00:00:00"/>
    <x v="11"/>
    <x v="6"/>
  </r>
  <r>
    <s v="São Paulo"/>
    <s v="Serviços de informação e comunicação"/>
    <n v="69.94"/>
    <n v="67.572370000000006"/>
    <d v="2018-01-01T00:00:00"/>
    <x v="0"/>
    <x v="7"/>
  </r>
  <r>
    <s v="São Paulo"/>
    <s v="Serviços de informação e comunicação"/>
    <n v="68.849999999999994"/>
    <n v="64.058790000000002"/>
    <d v="2018-02-01T00:00:00"/>
    <x v="1"/>
    <x v="7"/>
  </r>
  <r>
    <s v="São Paulo"/>
    <s v="Serviços de informação e comunicação"/>
    <n v="70.97"/>
    <n v="71.032669999999996"/>
    <d v="2018-03-01T00:00:00"/>
    <x v="2"/>
    <x v="7"/>
  </r>
  <r>
    <s v="São Paulo"/>
    <s v="Serviços de informação e comunicação"/>
    <n v="69.63"/>
    <n v="65.915170000000003"/>
    <d v="2018-04-01T00:00:00"/>
    <x v="3"/>
    <x v="7"/>
  </r>
  <r>
    <s v="São Paulo"/>
    <s v="Serviços de informação e comunicação"/>
    <n v="68.63"/>
    <n v="67.497500000000002"/>
    <d v="2018-05-01T00:00:00"/>
    <x v="4"/>
    <x v="7"/>
  </r>
  <r>
    <s v="São Paulo"/>
    <s v="Serviços de informação e comunicação"/>
    <n v="72.73"/>
    <n v="74.455240000000003"/>
    <d v="2018-06-01T00:00:00"/>
    <x v="5"/>
    <x v="7"/>
  </r>
  <r>
    <s v="São Paulo"/>
    <s v="Serviços de informação e comunicação"/>
    <n v="71.459999999999994"/>
    <n v="69.768990000000002"/>
    <d v="2018-07-01T00:00:00"/>
    <x v="6"/>
    <x v="7"/>
  </r>
  <r>
    <s v="São Paulo"/>
    <s v="Serviços de informação e comunicação"/>
    <n v="72.650000000000006"/>
    <n v="72.795540000000003"/>
    <d v="2018-08-01T00:00:00"/>
    <x v="7"/>
    <x v="7"/>
  </r>
  <r>
    <s v="São Paulo"/>
    <s v="Serviços de informação e comunicação"/>
    <n v="75.06"/>
    <n v="75.078729999999993"/>
    <d v="2018-09-01T00:00:00"/>
    <x v="8"/>
    <x v="7"/>
  </r>
  <r>
    <s v="São Paulo"/>
    <s v="Serviços de informação e comunicação"/>
    <n v="74.430000000000007"/>
    <n v="73.367540000000005"/>
    <d v="2018-10-01T00:00:00"/>
    <x v="9"/>
    <x v="7"/>
  </r>
  <r>
    <s v="São Paulo"/>
    <s v="Serviços de informação e comunicação"/>
    <n v="75"/>
    <n v="77.393339999999995"/>
    <d v="2018-11-01T00:00:00"/>
    <x v="10"/>
    <x v="7"/>
  </r>
  <r>
    <s v="São Paulo"/>
    <s v="Serviços de informação e comunicação"/>
    <n v="76.98"/>
    <n v="87.689419999999998"/>
    <d v="2018-12-01T00:00:00"/>
    <x v="11"/>
    <x v="7"/>
  </r>
  <r>
    <s v="São Paulo"/>
    <s v="Serviços de informação e comunicação"/>
    <n v="76.77"/>
    <n v="74.909599999999998"/>
    <d v="2019-01-01T00:00:00"/>
    <x v="0"/>
    <x v="8"/>
  </r>
  <r>
    <s v="São Paulo"/>
    <s v="Serviços de informação e comunicação"/>
    <n v="80.150000000000006"/>
    <n v="75.264840000000007"/>
    <d v="2019-02-01T00:00:00"/>
    <x v="1"/>
    <x v="8"/>
  </r>
  <r>
    <s v="São Paulo"/>
    <s v="Serviços de informação e comunicação"/>
    <n v="78.53"/>
    <n v="77.771240000000006"/>
    <d v="2019-03-01T00:00:00"/>
    <x v="2"/>
    <x v="8"/>
  </r>
  <r>
    <s v="São Paulo"/>
    <s v="Serviços de informação e comunicação"/>
    <n v="77.45"/>
    <n v="73.359809999999996"/>
    <d v="2019-04-01T00:00:00"/>
    <x v="3"/>
    <x v="8"/>
  </r>
  <r>
    <s v="São Paulo"/>
    <s v="Serviços de informação e comunicação"/>
    <n v="79.400000000000006"/>
    <n v="78.100440000000006"/>
    <d v="2019-05-01T00:00:00"/>
    <x v="4"/>
    <x v="8"/>
  </r>
  <r>
    <s v="São Paulo"/>
    <s v="Serviços de informação e comunicação"/>
    <n v="77.13"/>
    <n v="78.465270000000004"/>
    <d v="2019-06-01T00:00:00"/>
    <x v="5"/>
    <x v="8"/>
  </r>
  <r>
    <s v="São Paulo"/>
    <s v="Serviços de informação e comunicação"/>
    <n v="78.040000000000006"/>
    <n v="75.912199999999999"/>
    <d v="2019-07-01T00:00:00"/>
    <x v="6"/>
    <x v="8"/>
  </r>
  <r>
    <s v="São Paulo"/>
    <s v="Serviços de informação e comunicação"/>
    <n v="79.11"/>
    <n v="78.733519999999999"/>
    <d v="2019-08-01T00:00:00"/>
    <x v="7"/>
    <x v="8"/>
  </r>
  <r>
    <s v="São Paulo"/>
    <s v="Serviços de informação e comunicação"/>
    <n v="79.180000000000007"/>
    <n v="79.287840000000003"/>
    <d v="2019-09-01T00:00:00"/>
    <x v="8"/>
    <x v="8"/>
  </r>
  <r>
    <s v="São Paulo"/>
    <s v="Serviços de informação e comunicação"/>
    <n v="79.930000000000007"/>
    <n v="79.662409999999994"/>
    <d v="2019-10-01T00:00:00"/>
    <x v="9"/>
    <x v="8"/>
  </r>
  <r>
    <s v="São Paulo"/>
    <s v="Serviços de informação e comunicação"/>
    <n v="79.55"/>
    <n v="81.434820000000002"/>
    <d v="2019-11-01T00:00:00"/>
    <x v="10"/>
    <x v="8"/>
  </r>
  <r>
    <s v="São Paulo"/>
    <s v="Serviços de informação e comunicação"/>
    <n v="80.92"/>
    <n v="93.793189999999996"/>
    <d v="2019-12-01T00:00:00"/>
    <x v="11"/>
    <x v="8"/>
  </r>
  <r>
    <s v="São Paulo"/>
    <s v="Serviços de informação e comunicação"/>
    <n v="81.209999999999994"/>
    <n v="79.143410000000003"/>
    <d v="2020-01-01T00:00:00"/>
    <x v="0"/>
    <x v="9"/>
  </r>
  <r>
    <s v="São Paulo"/>
    <s v="Serviços de informação e comunicação"/>
    <n v="80.53"/>
    <n v="76.680660000000003"/>
    <d v="2020-02-01T00:00:00"/>
    <x v="1"/>
    <x v="9"/>
  </r>
  <r>
    <s v="São Paulo"/>
    <s v="Serviços de informação e comunicação"/>
    <n v="78.430000000000007"/>
    <n v="78.711690000000004"/>
    <d v="2020-03-01T00:00:00"/>
    <x v="2"/>
    <x v="9"/>
  </r>
  <r>
    <s v="São Paulo"/>
    <s v="Serviços de informação e comunicação"/>
    <n v="75.98"/>
    <n v="71.822800000000001"/>
    <d v="2020-04-01T00:00:00"/>
    <x v="3"/>
    <x v="9"/>
  </r>
  <r>
    <s v="São Paulo"/>
    <s v="Serviços de informação e comunicação"/>
    <n v="74.36"/>
    <n v="72.542140000000003"/>
    <d v="2020-05-01T00:00:00"/>
    <x v="4"/>
    <x v="9"/>
  </r>
  <r>
    <s v="São Paulo"/>
    <s v="Serviços de informação e comunicação"/>
    <n v="78.17"/>
    <n v="79.914209999999997"/>
    <d v="2020-06-01T00:00:00"/>
    <x v="5"/>
    <x v="9"/>
  </r>
  <r>
    <s v="São Paulo"/>
    <s v="Serviços de informação e comunicação"/>
    <n v="80.180000000000007"/>
    <n v="78.89564"/>
    <d v="2020-07-01T00:00:00"/>
    <x v="6"/>
    <x v="9"/>
  </r>
  <r>
    <s v="São Paulo"/>
    <s v="Serviços de informação e comunicação"/>
    <n v="80.209999999999994"/>
    <n v="78.755330000000001"/>
    <d v="2020-08-01T00:00:00"/>
    <x v="7"/>
    <x v="9"/>
  </r>
  <r>
    <s v="São Paulo"/>
    <s v="Serviços de informação e comunicação"/>
    <n v="81.61"/>
    <n v="82.030839999999998"/>
    <d v="2020-09-01T00:00:00"/>
    <x v="8"/>
    <x v="9"/>
  </r>
  <r>
    <s v="São Paulo"/>
    <s v="Serviços de informação e comunicação"/>
    <n v="84.64"/>
    <n v="84.165310000000005"/>
    <d v="2020-10-01T00:00:00"/>
    <x v="9"/>
    <x v="9"/>
  </r>
  <r>
    <s v="São Paulo"/>
    <s v="Serviços de informação e comunicação"/>
    <n v="84.87"/>
    <n v="87.278899999999993"/>
    <d v="2020-11-01T00:00:00"/>
    <x v="10"/>
    <x v="9"/>
  </r>
  <r>
    <s v="São Paulo"/>
    <s v="Serviços de informação e comunicação"/>
    <n v="85.62"/>
    <n v="99.624399999999994"/>
    <d v="2020-12-01T00:00:00"/>
    <x v="11"/>
    <x v="9"/>
  </r>
  <r>
    <s v="São Paulo"/>
    <s v="Serviços de informação e comunicação"/>
    <n v="87.13"/>
    <n v="84.242829999999998"/>
    <d v="2021-01-01T00:00:00"/>
    <x v="0"/>
    <x v="10"/>
  </r>
  <r>
    <s v="São Paulo"/>
    <s v="Serviços de informação e comunicação"/>
    <n v="89.23"/>
    <n v="82.803809999999999"/>
    <d v="2021-02-01T00:00:00"/>
    <x v="1"/>
    <x v="10"/>
  </r>
  <r>
    <s v="São Paulo"/>
    <s v="Serviços de informação e comunicação"/>
    <n v="90.16"/>
    <n v="89.732569999999996"/>
    <d v="2021-03-01T00:00:00"/>
    <x v="2"/>
    <x v="10"/>
  </r>
  <r>
    <s v="São Paulo"/>
    <s v="Serviços de informação e comunicação"/>
    <n v="92.77"/>
    <n v="88.633499999999998"/>
    <d v="2021-04-01T00:00:00"/>
    <x v="3"/>
    <x v="10"/>
  </r>
  <r>
    <s v="São Paulo"/>
    <s v="Serviços de informação e comunicação"/>
    <n v="92.92"/>
    <n v="89.148799999999994"/>
    <d v="2021-05-01T00:00:00"/>
    <x v="4"/>
    <x v="10"/>
  </r>
  <r>
    <s v="São Paulo"/>
    <s v="Serviços de informação e comunicação"/>
    <n v="93.38"/>
    <n v="95.318709999999996"/>
    <d v="2021-06-01T00:00:00"/>
    <x v="5"/>
    <x v="10"/>
  </r>
  <r>
    <s v="São Paulo"/>
    <s v="Serviços de informação e comunicação"/>
    <n v="93.98"/>
    <n v="92.276449999999997"/>
    <d v="2021-07-01T00:00:00"/>
    <x v="6"/>
    <x v="10"/>
  </r>
  <r>
    <s v="São Paulo"/>
    <s v="Serviços de informação e comunicação"/>
    <n v="95.25"/>
    <n v="95.024190000000004"/>
    <d v="2021-08-01T00:00:00"/>
    <x v="7"/>
    <x v="10"/>
  </r>
  <r>
    <s v="São Paulo"/>
    <s v="Serviços de informação e comunicação"/>
    <n v="94.25"/>
    <n v="94.418170000000003"/>
    <d v="2021-09-01T00:00:00"/>
    <x v="8"/>
    <x v="10"/>
  </r>
  <r>
    <s v="São Paulo"/>
    <s v="Serviços de informação e comunicação"/>
    <n v="94.14"/>
    <n v="93.754220000000004"/>
    <d v="2021-10-01T00:00:00"/>
    <x v="9"/>
    <x v="10"/>
  </r>
  <r>
    <s v="São Paulo"/>
    <s v="Serviços de informação e comunicação"/>
    <n v="99.21"/>
    <n v="102.90155"/>
    <d v="2021-11-01T00:00:00"/>
    <x v="10"/>
    <x v="10"/>
  </r>
  <r>
    <s v="São Paulo"/>
    <s v="Serviços de informação e comunicação"/>
    <n v="100.31"/>
    <n v="116.72269"/>
    <d v="2021-12-01T00:00:00"/>
    <x v="11"/>
    <x v="10"/>
  </r>
  <r>
    <s v="São Paulo"/>
    <s v="Serviços de informação e comunicação"/>
    <n v="96.52"/>
    <n v="91.965190000000007"/>
    <d v="2022-01-01T00:00:00"/>
    <x v="0"/>
    <x v="11"/>
  </r>
  <r>
    <s v="São Paulo"/>
    <s v="Serviços de informação e comunicação"/>
    <n v="95.11"/>
    <n v="88.379480000000001"/>
    <d v="2022-02-01T00:00:00"/>
    <x v="1"/>
    <x v="11"/>
  </r>
  <r>
    <s v="São Paulo"/>
    <s v="Serviços de informação e comunicação"/>
    <n v="97.32"/>
    <n v="97.555120000000002"/>
    <d v="2022-03-01T00:00:00"/>
    <x v="2"/>
    <x v="11"/>
  </r>
  <r>
    <s v="São Paulo"/>
    <s v="Serviços de informação e comunicação"/>
    <n v="98.55"/>
    <n v="93.028750000000002"/>
    <d v="2022-04-01T00:00:00"/>
    <x v="3"/>
    <x v="11"/>
  </r>
  <r>
    <s v="São Paulo"/>
    <s v="Serviços de informação e comunicação"/>
    <n v="99.93"/>
    <n v="96.984350000000006"/>
    <d v="2022-05-01T00:00:00"/>
    <x v="4"/>
    <x v="11"/>
  </r>
  <r>
    <s v="São Paulo"/>
    <s v="Serviços de informação e comunicação"/>
    <n v="98.64"/>
    <n v="99.951220000000006"/>
    <d v="2022-06-01T00:00:00"/>
    <x v="5"/>
    <x v="11"/>
  </r>
  <r>
    <s v="São Paulo"/>
    <s v="Serviços de informação e comunicação"/>
    <n v="100.14"/>
    <n v="98.737790000000004"/>
    <d v="2022-07-01T00:00:00"/>
    <x v="6"/>
    <x v="11"/>
  </r>
  <r>
    <s v="São Paulo"/>
    <s v="Serviços de informação e comunicação"/>
    <n v="101.89"/>
    <n v="101.05492"/>
    <d v="2022-08-01T00:00:00"/>
    <x v="7"/>
    <x v="11"/>
  </r>
  <r>
    <s v="São Paulo"/>
    <s v="Serviços de informação e comunicação"/>
    <n v="102.73"/>
    <n v="104.10391"/>
    <d v="2022-09-01T00:00:00"/>
    <x v="8"/>
    <x v="11"/>
  </r>
  <r>
    <s v="São Paulo"/>
    <s v="Serviços de informação e comunicação"/>
    <n v="108.87"/>
    <n v="107.09786"/>
    <d v="2022-10-01T00:00:00"/>
    <x v="9"/>
    <x v="11"/>
  </r>
  <r>
    <s v="São Paulo"/>
    <s v="Serviços de informação e comunicação"/>
    <n v="103.25"/>
    <n v="107.64257000000001"/>
    <d v="2022-11-01T00:00:00"/>
    <x v="10"/>
    <x v="11"/>
  </r>
  <r>
    <s v="São Paulo"/>
    <s v="Serviços de informação e comunicação"/>
    <n v="98.29"/>
    <n v="113.49885"/>
    <d v="2022-12-01T00:00:00"/>
    <x v="11"/>
    <x v="11"/>
  </r>
  <r>
    <s v="São Paulo"/>
    <s v="Serviços de informação e comunicação"/>
    <n v="101.28"/>
    <n v="98.055779999999999"/>
    <d v="2023-01-01T00:00:00"/>
    <x v="0"/>
    <x v="12"/>
  </r>
  <r>
    <s v="São Paulo"/>
    <s v="Serviços de informação e comunicação"/>
    <n v="100.97"/>
    <n v="93.888249999999999"/>
    <d v="2023-02-01T00:00:00"/>
    <x v="1"/>
    <x v="12"/>
  </r>
  <r>
    <s v="São Paulo"/>
    <s v="Serviços de informação e comunicação"/>
    <n v="100.5"/>
    <n v="100.86185999999999"/>
    <d v="2023-03-01T00:00:00"/>
    <x v="2"/>
    <x v="12"/>
  </r>
  <r>
    <s v="São Paulo"/>
    <s v="Serviços de informação e comunicação"/>
    <n v="99.42"/>
    <n v="93.319429999999997"/>
    <d v="2023-04-01T00:00:00"/>
    <x v="3"/>
    <x v="12"/>
  </r>
  <r>
    <s v="São Paulo"/>
    <s v="Serviços de informação e comunicação"/>
    <n v="99.03"/>
    <n v="95.294629999999998"/>
    <d v="2023-05-01T00:00:00"/>
    <x v="4"/>
    <x v="12"/>
  </r>
  <r>
    <s v="São Paulo"/>
    <s v="Serviços de informação e comunicação"/>
    <n v="102.13"/>
    <n v="104.30584"/>
    <d v="2023-06-01T00:00:00"/>
    <x v="5"/>
    <x v="12"/>
  </r>
  <r>
    <s v="São Paulo"/>
    <s v="Serviços de informação e comunicação"/>
    <n v="101.01"/>
    <n v="98.611609999999999"/>
    <d v="2023-07-01T00:00:00"/>
    <x v="6"/>
    <x v="12"/>
  </r>
  <r>
    <s v="São Paulo"/>
    <s v="Serviços de informação e comunicação"/>
    <n v="101.16"/>
    <n v="101.09862"/>
    <d v="2023-08-01T00:00:00"/>
    <x v="7"/>
    <x v="12"/>
  </r>
  <r>
    <s v="São Paulo"/>
    <s v="Serviços de informação e comunicação"/>
    <n v="101.13"/>
    <n v="101.50778"/>
    <d v="2023-09-01T00:00:00"/>
    <x v="8"/>
    <x v="12"/>
  </r>
  <r>
    <s v="São Paulo"/>
    <s v="Serviços de informação e comunicação"/>
    <n v="102.75"/>
    <n v="102.70399"/>
    <d v="2023-10-01T00:00:00"/>
    <x v="9"/>
    <x v="12"/>
  </r>
  <r>
    <s v="São Paulo"/>
    <s v="Serviços de informação e comunicação"/>
    <n v="103.24"/>
    <n v="107.32047"/>
    <d v="2023-11-01T00:00:00"/>
    <x v="10"/>
    <x v="12"/>
  </r>
  <r>
    <s v="São Paulo"/>
    <s v="Serviços de informação e comunicação"/>
    <n v="103.35"/>
    <n v="119.0322"/>
    <d v="2023-12-01T00:00:00"/>
    <x v="11"/>
    <x v="12"/>
  </r>
  <r>
    <s v="São Paulo"/>
    <s v="Serviços de informação e comunicação"/>
    <n v="104.16"/>
    <n v="100.25763999999999"/>
    <d v="2024-01-01T00:00:00"/>
    <x v="0"/>
    <x v="13"/>
  </r>
  <r>
    <s v="São Paulo"/>
    <s v="Serviços de informação e comunicação"/>
    <n v="98.9"/>
    <n v="95.636750000000006"/>
    <d v="2024-02-01T00:00:00"/>
    <x v="1"/>
    <x v="13"/>
  </r>
  <r>
    <s v="São Paulo"/>
    <s v="Serviços de informação e comunicação"/>
    <n v="106.26"/>
    <n v="105.69256"/>
    <d v="2024-03-01T00:00:00"/>
    <x v="2"/>
    <x v="13"/>
  </r>
  <r>
    <s v="São Paulo"/>
    <s v="Serviços de informação e comunicação"/>
    <n v="106.41"/>
    <n v="100.99605"/>
    <d v="2024-04-01T00:00:00"/>
    <x v="3"/>
    <x v="13"/>
  </r>
  <r>
    <s v="São Paulo"/>
    <s v="Serviços de informação e comunicação"/>
    <n v="105.77"/>
    <n v="102.50584000000001"/>
    <d v="2024-05-01T00:00:00"/>
    <x v="4"/>
    <x v="13"/>
  </r>
  <r>
    <s v="São Paulo"/>
    <s v="Serviços de informação e comunicação"/>
    <n v="107.39"/>
    <n v="107.67151"/>
    <d v="2024-06-01T00:00:00"/>
    <x v="5"/>
    <x v="13"/>
  </r>
  <r>
    <s v="São Paulo"/>
    <s v="Serviços de informação e comunicação"/>
    <n v="109.12"/>
    <n v="107.82514999999999"/>
    <d v="2024-07-01T00:00:00"/>
    <x v="6"/>
    <x v="13"/>
  </r>
  <r>
    <s v="São Paulo"/>
    <s v="Serviços de informação e comunicação"/>
    <n v="109.25"/>
    <n v="108.47038000000001"/>
    <d v="2024-08-01T00:00:00"/>
    <x v="7"/>
    <x v="13"/>
  </r>
  <r>
    <s v="São Paulo"/>
    <s v="Serviços de informação e comunicação"/>
    <n v="110.85"/>
    <n v="111.36199999999999"/>
    <d v="2024-09-01T00:00:00"/>
    <x v="8"/>
    <x v="13"/>
  </r>
  <r>
    <s v="São Paulo"/>
    <s v="Serviços de informação e comunicação"/>
    <n v="109.59"/>
    <n v="109.85639"/>
    <d v="2024-10-01T00:00:00"/>
    <x v="9"/>
    <x v="13"/>
  </r>
  <r>
    <s v="São Paulo"/>
    <s v="Serviços de informação e comunicação"/>
    <n v="111.02"/>
    <n v="115.16369"/>
    <d v="2024-11-01T00:00:00"/>
    <x v="10"/>
    <x v="13"/>
  </r>
  <r>
    <s v="São Paulo"/>
    <s v="Serviços de informação e comunicação"/>
    <n v="108.52"/>
    <n v="125.25423000000001"/>
    <d v="2024-12-01T00:00:00"/>
    <x v="11"/>
    <x v="13"/>
  </r>
  <r>
    <s v="São Paulo"/>
    <s v="Serviços de informação e comunicação"/>
    <n v="113.85"/>
    <n v="110.69061000000001"/>
    <d v="2025-01-01T00:00:00"/>
    <x v="0"/>
    <x v="14"/>
  </r>
  <r>
    <s v="São Paulo"/>
    <s v="Serviços de informação e comunicação"/>
    <n v="116.12"/>
    <n v="109.08428000000001"/>
    <d v="2025-02-01T00:00:00"/>
    <x v="1"/>
    <x v="14"/>
  </r>
  <r>
    <s v="São Paulo"/>
    <s v="Serviços de informação e comunicação"/>
    <n v="115.88"/>
    <n v="113.40873999999999"/>
    <d v="2025-03-01T00:00:00"/>
    <x v="2"/>
    <x v="14"/>
  </r>
  <r>
    <s v="São Paulo"/>
    <s v="Serviços de informação e comunicação"/>
    <n v="116.88"/>
    <n v="110.65246999999999"/>
    <d v="2025-04-01T00:00:00"/>
    <x v="3"/>
    <x v="14"/>
  </r>
  <r>
    <s v="São Paulo"/>
    <s v="Serviços de informação e comunicação"/>
    <n v="118.37"/>
    <n v="114.12721000000001"/>
    <d v="2025-05-01T00:00:00"/>
    <x v="4"/>
    <x v="14"/>
  </r>
  <r>
    <s v="São Paulo"/>
    <s v="Serviços de informação e comunicação"/>
    <n v="116.2"/>
    <n v="116.73813"/>
    <d v="2025-06-01T00:00:00"/>
    <x v="5"/>
    <x v="14"/>
  </r>
  <r>
    <s v="São Paulo"/>
    <s v="Serviços de informação e comunicação"/>
    <n v="120.58"/>
    <n v="120.27647"/>
    <d v="2025-07-01T00:00:00"/>
    <x v="6"/>
    <x v="14"/>
  </r>
  <r>
    <s v="São Paulo"/>
    <s v="Serviços de informação e comunicação"/>
    <n v="117.89"/>
    <n v="116.81923999999999"/>
    <d v="2025-08-01T00:00:00"/>
    <x v="7"/>
    <x v="14"/>
  </r>
  <r>
    <s v="São Paulo"/>
    <s v="Serviços prestados às famílias"/>
    <n v="104.62"/>
    <n v="109.92169"/>
    <d v="2011-01-01T00:00:00"/>
    <x v="0"/>
    <x v="0"/>
  </r>
  <r>
    <s v="São Paulo"/>
    <s v="Serviços prestados às famílias"/>
    <n v="108.36"/>
    <n v="100.34298"/>
    <d v="2011-02-01T00:00:00"/>
    <x v="1"/>
    <x v="0"/>
  </r>
  <r>
    <s v="São Paulo"/>
    <s v="Serviços prestados às famílias"/>
    <n v="110.97"/>
    <n v="109.09392"/>
    <d v="2011-03-01T00:00:00"/>
    <x v="2"/>
    <x v="0"/>
  </r>
  <r>
    <s v="São Paulo"/>
    <s v="Serviços prestados às famílias"/>
    <n v="114.11"/>
    <n v="113.59986000000001"/>
    <d v="2011-04-01T00:00:00"/>
    <x v="3"/>
    <x v="0"/>
  </r>
  <r>
    <s v="São Paulo"/>
    <s v="Serviços prestados às famílias"/>
    <n v="111.37"/>
    <n v="105.73511999999999"/>
    <d v="2011-05-01T00:00:00"/>
    <x v="4"/>
    <x v="0"/>
  </r>
  <r>
    <s v="São Paulo"/>
    <s v="Serviços prestados às famílias"/>
    <n v="115.88"/>
    <n v="107.33459000000001"/>
    <d v="2011-06-01T00:00:00"/>
    <x v="5"/>
    <x v="0"/>
  </r>
  <r>
    <s v="São Paulo"/>
    <s v="Serviços prestados às famílias"/>
    <n v="115.87"/>
    <n v="112.25189"/>
    <d v="2011-07-01T00:00:00"/>
    <x v="6"/>
    <x v="0"/>
  </r>
  <r>
    <s v="São Paulo"/>
    <s v="Serviços prestados às famílias"/>
    <n v="111.38"/>
    <n v="111.43917"/>
    <d v="2011-08-01T00:00:00"/>
    <x v="7"/>
    <x v="0"/>
  </r>
  <r>
    <s v="São Paulo"/>
    <s v="Serviços prestados às famílias"/>
    <n v="110.78"/>
    <n v="107.85723"/>
    <d v="2011-09-01T00:00:00"/>
    <x v="8"/>
    <x v="0"/>
  </r>
  <r>
    <s v="São Paulo"/>
    <s v="Serviços prestados às famílias"/>
    <n v="113.54"/>
    <n v="116.79069"/>
    <d v="2011-10-01T00:00:00"/>
    <x v="9"/>
    <x v="0"/>
  </r>
  <r>
    <s v="São Paulo"/>
    <s v="Serviços prestados às famílias"/>
    <n v="117.3"/>
    <n v="121.44613"/>
    <d v="2011-11-01T00:00:00"/>
    <x v="10"/>
    <x v="0"/>
  </r>
  <r>
    <s v="São Paulo"/>
    <s v="Serviços prestados às famílias"/>
    <n v="108.96"/>
    <n v="127.57253"/>
    <d v="2011-12-01T00:00:00"/>
    <x v="11"/>
    <x v="0"/>
  </r>
  <r>
    <s v="São Paulo"/>
    <s v="Serviços prestados às famílias"/>
    <n v="111.88"/>
    <n v="115.98556000000001"/>
    <d v="2012-01-01T00:00:00"/>
    <x v="0"/>
    <x v="1"/>
  </r>
  <r>
    <s v="São Paulo"/>
    <s v="Serviços prestados às famílias"/>
    <n v="109.63"/>
    <n v="102.67019999999999"/>
    <d v="2012-02-01T00:00:00"/>
    <x v="1"/>
    <x v="1"/>
  </r>
  <r>
    <s v="São Paulo"/>
    <s v="Serviços prestados às famílias"/>
    <n v="108.6"/>
    <n v="111.1194"/>
    <d v="2012-03-01T00:00:00"/>
    <x v="2"/>
    <x v="1"/>
  </r>
  <r>
    <s v="São Paulo"/>
    <s v="Serviços prestados às famílias"/>
    <n v="107.44"/>
    <n v="103.57388"/>
    <d v="2012-04-01T00:00:00"/>
    <x v="3"/>
    <x v="1"/>
  </r>
  <r>
    <s v="São Paulo"/>
    <s v="Serviços prestados às famílias"/>
    <n v="112.16"/>
    <n v="106.68899"/>
    <d v="2012-05-01T00:00:00"/>
    <x v="4"/>
    <x v="1"/>
  </r>
  <r>
    <s v="São Paulo"/>
    <s v="Serviços prestados às famílias"/>
    <n v="108.92"/>
    <n v="103.304"/>
    <d v="2012-06-01T00:00:00"/>
    <x v="5"/>
    <x v="1"/>
  </r>
  <r>
    <s v="São Paulo"/>
    <s v="Serviços prestados às famílias"/>
    <n v="108.78"/>
    <n v="102.86005"/>
    <d v="2012-07-01T00:00:00"/>
    <x v="6"/>
    <x v="1"/>
  </r>
  <r>
    <s v="São Paulo"/>
    <s v="Serviços prestados às famílias"/>
    <n v="114.8"/>
    <n v="114.95511"/>
    <d v="2012-08-01T00:00:00"/>
    <x v="7"/>
    <x v="1"/>
  </r>
  <r>
    <s v="São Paulo"/>
    <s v="Serviços prestados às famílias"/>
    <n v="116.16"/>
    <n v="112.56274000000001"/>
    <d v="2012-09-01T00:00:00"/>
    <x v="8"/>
    <x v="1"/>
  </r>
  <r>
    <s v="São Paulo"/>
    <s v="Serviços prestados às famílias"/>
    <n v="110.69"/>
    <n v="113.69004"/>
    <d v="2012-10-01T00:00:00"/>
    <x v="9"/>
    <x v="1"/>
  </r>
  <r>
    <s v="São Paulo"/>
    <s v="Serviços prestados às famílias"/>
    <n v="114.23"/>
    <n v="118.53708"/>
    <d v="2012-11-01T00:00:00"/>
    <x v="10"/>
    <x v="1"/>
  </r>
  <r>
    <s v="São Paulo"/>
    <s v="Serviços prestados às famílias"/>
    <n v="111.68"/>
    <n v="129.12594999999999"/>
    <d v="2012-12-01T00:00:00"/>
    <x v="11"/>
    <x v="1"/>
  </r>
  <r>
    <s v="São Paulo"/>
    <s v="Serviços prestados às famílias"/>
    <n v="110.3"/>
    <n v="115.41646"/>
    <d v="2013-01-01T00:00:00"/>
    <x v="0"/>
    <x v="2"/>
  </r>
  <r>
    <s v="São Paulo"/>
    <s v="Serviços prestados às famílias"/>
    <n v="109.86"/>
    <n v="101.38957000000001"/>
    <d v="2013-02-01T00:00:00"/>
    <x v="1"/>
    <x v="2"/>
  </r>
  <r>
    <s v="São Paulo"/>
    <s v="Serviços prestados às famílias"/>
    <n v="113.01"/>
    <n v="114.90721000000001"/>
    <d v="2013-03-01T00:00:00"/>
    <x v="2"/>
    <x v="2"/>
  </r>
  <r>
    <s v="São Paulo"/>
    <s v="Serviços prestados às famílias"/>
    <n v="114.81"/>
    <n v="111.74124999999999"/>
    <d v="2013-04-01T00:00:00"/>
    <x v="3"/>
    <x v="2"/>
  </r>
  <r>
    <s v="São Paulo"/>
    <s v="Serviços prestados às famílias"/>
    <n v="115.42"/>
    <n v="110.42852000000001"/>
    <d v="2013-05-01T00:00:00"/>
    <x v="4"/>
    <x v="2"/>
  </r>
  <r>
    <s v="São Paulo"/>
    <s v="Serviços prestados às famílias"/>
    <n v="116"/>
    <n v="108.24182"/>
    <d v="2013-06-01T00:00:00"/>
    <x v="5"/>
    <x v="2"/>
  </r>
  <r>
    <s v="São Paulo"/>
    <s v="Serviços prestados às famílias"/>
    <n v="117.62"/>
    <n v="112.74539"/>
    <d v="2013-07-01T00:00:00"/>
    <x v="6"/>
    <x v="2"/>
  </r>
  <r>
    <s v="São Paulo"/>
    <s v="Serviços prestados às famílias"/>
    <n v="113.07"/>
    <n v="114.58732000000001"/>
    <d v="2013-08-01T00:00:00"/>
    <x v="7"/>
    <x v="2"/>
  </r>
  <r>
    <s v="São Paulo"/>
    <s v="Serviços prestados às famílias"/>
    <n v="115.05"/>
    <n v="110.27936"/>
    <d v="2013-09-01T00:00:00"/>
    <x v="8"/>
    <x v="2"/>
  </r>
  <r>
    <s v="São Paulo"/>
    <s v="Serviços prestados às famílias"/>
    <n v="113.83"/>
    <n v="116.21944000000001"/>
    <d v="2013-10-01T00:00:00"/>
    <x v="9"/>
    <x v="2"/>
  </r>
  <r>
    <s v="São Paulo"/>
    <s v="Serviços prestados às famílias"/>
    <n v="116.07"/>
    <n v="121.62504"/>
    <d v="2013-11-01T00:00:00"/>
    <x v="10"/>
    <x v="2"/>
  </r>
  <r>
    <s v="São Paulo"/>
    <s v="Serviços prestados às famílias"/>
    <n v="114.09"/>
    <n v="130.17196000000001"/>
    <d v="2013-12-01T00:00:00"/>
    <x v="11"/>
    <x v="2"/>
  </r>
  <r>
    <s v="São Paulo"/>
    <s v="Serviços prestados às famílias"/>
    <n v="120.81"/>
    <n v="127.18552"/>
    <d v="2014-01-01T00:00:00"/>
    <x v="0"/>
    <x v="3"/>
  </r>
  <r>
    <s v="São Paulo"/>
    <s v="Serviços prestados às famílias"/>
    <n v="114.54"/>
    <n v="107.95386000000001"/>
    <d v="2014-02-01T00:00:00"/>
    <x v="1"/>
    <x v="3"/>
  </r>
  <r>
    <s v="São Paulo"/>
    <s v="Serviços prestados às famílias"/>
    <n v="113.22"/>
    <n v="113.15133"/>
    <d v="2014-03-01T00:00:00"/>
    <x v="2"/>
    <x v="3"/>
  </r>
  <r>
    <s v="São Paulo"/>
    <s v="Serviços prestados às famílias"/>
    <n v="112.02"/>
    <n v="108.42013"/>
    <d v="2014-04-01T00:00:00"/>
    <x v="3"/>
    <x v="3"/>
  </r>
  <r>
    <s v="São Paulo"/>
    <s v="Serviços prestados às famílias"/>
    <n v="111.27"/>
    <n v="107.77912999999999"/>
    <d v="2014-05-01T00:00:00"/>
    <x v="4"/>
    <x v="3"/>
  </r>
  <r>
    <s v="São Paulo"/>
    <s v="Serviços prestados às famílias"/>
    <n v="107.02"/>
    <n v="98.514269999999996"/>
    <d v="2014-06-01T00:00:00"/>
    <x v="5"/>
    <x v="3"/>
  </r>
  <r>
    <s v="São Paulo"/>
    <s v="Serviços prestados às famílias"/>
    <n v="105.87"/>
    <n v="100.58991"/>
    <d v="2014-07-01T00:00:00"/>
    <x v="6"/>
    <x v="3"/>
  </r>
  <r>
    <s v="São Paulo"/>
    <s v="Serviços prestados às famílias"/>
    <n v="112.85"/>
    <n v="112.63137999999999"/>
    <d v="2014-08-01T00:00:00"/>
    <x v="7"/>
    <x v="3"/>
  </r>
  <r>
    <s v="São Paulo"/>
    <s v="Serviços prestados às famílias"/>
    <n v="109.39"/>
    <n v="105.87933"/>
    <d v="2014-09-01T00:00:00"/>
    <x v="8"/>
    <x v="3"/>
  </r>
  <r>
    <s v="São Paulo"/>
    <s v="Serviços prestados às famílias"/>
    <n v="111.18"/>
    <n v="115.03673000000001"/>
    <d v="2014-10-01T00:00:00"/>
    <x v="9"/>
    <x v="3"/>
  </r>
  <r>
    <s v="São Paulo"/>
    <s v="Serviços prestados às famílias"/>
    <n v="108.76"/>
    <n v="111.57043"/>
    <d v="2014-11-01T00:00:00"/>
    <x v="10"/>
    <x v="3"/>
  </r>
  <r>
    <s v="São Paulo"/>
    <s v="Serviços prestados às famílias"/>
    <n v="115.43"/>
    <n v="132.37721999999999"/>
    <d v="2014-12-01T00:00:00"/>
    <x v="11"/>
    <x v="3"/>
  </r>
  <r>
    <s v="São Paulo"/>
    <s v="Serviços prestados às famílias"/>
    <n v="116.97"/>
    <n v="124.73737"/>
    <d v="2015-01-01T00:00:00"/>
    <x v="0"/>
    <x v="4"/>
  </r>
  <r>
    <s v="São Paulo"/>
    <s v="Serviços prestados às famílias"/>
    <n v="115.04"/>
    <n v="107.2025"/>
    <d v="2015-02-01T00:00:00"/>
    <x v="1"/>
    <x v="4"/>
  </r>
  <r>
    <s v="São Paulo"/>
    <s v="Serviços prestados às famílias"/>
    <n v="111.67"/>
    <n v="111.30195999999999"/>
    <d v="2015-03-01T00:00:00"/>
    <x v="2"/>
    <x v="4"/>
  </r>
  <r>
    <s v="São Paulo"/>
    <s v="Serviços prestados às famílias"/>
    <n v="108.15"/>
    <n v="104.39173"/>
    <d v="2015-04-01T00:00:00"/>
    <x v="3"/>
    <x v="4"/>
  </r>
  <r>
    <s v="São Paulo"/>
    <s v="Serviços prestados às famílias"/>
    <n v="104.3"/>
    <n v="99.997470000000007"/>
    <d v="2015-05-01T00:00:00"/>
    <x v="4"/>
    <x v="4"/>
  </r>
  <r>
    <s v="São Paulo"/>
    <s v="Serviços prestados às famílias"/>
    <n v="109.51"/>
    <n v="102.54116"/>
    <d v="2015-06-01T00:00:00"/>
    <x v="5"/>
    <x v="4"/>
  </r>
  <r>
    <s v="São Paulo"/>
    <s v="Serviços prestados às famílias"/>
    <n v="102.28"/>
    <n v="98.994010000000003"/>
    <d v="2015-07-01T00:00:00"/>
    <x v="6"/>
    <x v="4"/>
  </r>
  <r>
    <s v="São Paulo"/>
    <s v="Serviços prestados às famílias"/>
    <n v="105.91"/>
    <n v="104.69969"/>
    <d v="2015-08-01T00:00:00"/>
    <x v="7"/>
    <x v="4"/>
  </r>
  <r>
    <s v="São Paulo"/>
    <s v="Serviços prestados às famílias"/>
    <n v="103.1"/>
    <n v="99.45993"/>
    <d v="2015-09-01T00:00:00"/>
    <x v="8"/>
    <x v="4"/>
  </r>
  <r>
    <s v="São Paulo"/>
    <s v="Serviços prestados às famílias"/>
    <n v="105.39"/>
    <n v="111.35656"/>
    <d v="2015-10-01T00:00:00"/>
    <x v="9"/>
    <x v="4"/>
  </r>
  <r>
    <s v="São Paulo"/>
    <s v="Serviços prestados às famílias"/>
    <n v="104.4"/>
    <n v="105.73394999999999"/>
    <d v="2015-11-01T00:00:00"/>
    <x v="10"/>
    <x v="4"/>
  </r>
  <r>
    <s v="São Paulo"/>
    <s v="Serviços prestados às famílias"/>
    <n v="108.94"/>
    <n v="123.97611000000001"/>
    <d v="2015-12-01T00:00:00"/>
    <x v="11"/>
    <x v="4"/>
  </r>
  <r>
    <s v="São Paulo"/>
    <s v="Serviços prestados às famílias"/>
    <n v="114.43"/>
    <n v="120.42474"/>
    <d v="2016-01-01T00:00:00"/>
    <x v="0"/>
    <x v="5"/>
  </r>
  <r>
    <s v="São Paulo"/>
    <s v="Serviços prestados às famílias"/>
    <n v="110.09"/>
    <n v="104.49481"/>
    <d v="2016-02-01T00:00:00"/>
    <x v="1"/>
    <x v="5"/>
  </r>
  <r>
    <s v="São Paulo"/>
    <s v="Serviços prestados às famílias"/>
    <n v="106.97"/>
    <n v="107.06858"/>
    <d v="2016-03-01T00:00:00"/>
    <x v="2"/>
    <x v="5"/>
  </r>
  <r>
    <s v="São Paulo"/>
    <s v="Serviços prestados às famílias"/>
    <n v="105.56"/>
    <n v="104.81456"/>
    <d v="2016-04-01T00:00:00"/>
    <x v="3"/>
    <x v="5"/>
  </r>
  <r>
    <s v="São Paulo"/>
    <s v="Serviços prestados às famílias"/>
    <n v="100.84"/>
    <n v="94.381169999999997"/>
    <d v="2016-05-01T00:00:00"/>
    <x v="4"/>
    <x v="5"/>
  </r>
  <r>
    <s v="São Paulo"/>
    <s v="Serviços prestados às famílias"/>
    <n v="100.19"/>
    <n v="93.890739999999994"/>
    <d v="2016-06-01T00:00:00"/>
    <x v="5"/>
    <x v="5"/>
  </r>
  <r>
    <s v="São Paulo"/>
    <s v="Serviços prestados às famílias"/>
    <n v="101.93"/>
    <n v="100.78815"/>
    <d v="2016-07-01T00:00:00"/>
    <x v="6"/>
    <x v="5"/>
  </r>
  <r>
    <s v="São Paulo"/>
    <s v="Serviços prestados às famílias"/>
    <n v="98.32"/>
    <n v="96.024780000000007"/>
    <d v="2016-08-01T00:00:00"/>
    <x v="7"/>
    <x v="5"/>
  </r>
  <r>
    <s v="São Paulo"/>
    <s v="Serviços prestados às famílias"/>
    <n v="98.84"/>
    <n v="96.57723"/>
    <d v="2016-09-01T00:00:00"/>
    <x v="8"/>
    <x v="5"/>
  </r>
  <r>
    <s v="São Paulo"/>
    <s v="Serviços prestados às famílias"/>
    <n v="101.94"/>
    <n v="107.1613"/>
    <d v="2016-10-01T00:00:00"/>
    <x v="9"/>
    <x v="5"/>
  </r>
  <r>
    <s v="São Paulo"/>
    <s v="Serviços prestados às famílias"/>
    <n v="100.98"/>
    <n v="102.68225"/>
    <d v="2016-11-01T00:00:00"/>
    <x v="10"/>
    <x v="5"/>
  </r>
  <r>
    <s v="São Paulo"/>
    <s v="Serviços prestados às famílias"/>
    <n v="110.81"/>
    <n v="126.64639"/>
    <d v="2016-12-01T00:00:00"/>
    <x v="11"/>
    <x v="5"/>
  </r>
  <r>
    <s v="São Paulo"/>
    <s v="Serviços prestados às famílias"/>
    <n v="98.25"/>
    <n v="101.08761"/>
    <d v="2017-01-01T00:00:00"/>
    <x v="0"/>
    <x v="6"/>
  </r>
  <r>
    <s v="São Paulo"/>
    <s v="Serviços prestados às famílias"/>
    <n v="98.48"/>
    <n v="88.897639999999996"/>
    <d v="2017-02-01T00:00:00"/>
    <x v="1"/>
    <x v="6"/>
  </r>
  <r>
    <s v="São Paulo"/>
    <s v="Serviços prestados às famílias"/>
    <n v="96.86"/>
    <n v="97.677419999999998"/>
    <d v="2017-03-01T00:00:00"/>
    <x v="2"/>
    <x v="6"/>
  </r>
  <r>
    <s v="São Paulo"/>
    <s v="Serviços prestados às famílias"/>
    <n v="98.8"/>
    <n v="96.546149999999997"/>
    <d v="2017-04-01T00:00:00"/>
    <x v="3"/>
    <x v="6"/>
  </r>
  <r>
    <s v="São Paulo"/>
    <s v="Serviços prestados às famílias"/>
    <n v="103.78"/>
    <n v="100.221"/>
    <d v="2017-05-01T00:00:00"/>
    <x v="4"/>
    <x v="6"/>
  </r>
  <r>
    <s v="São Paulo"/>
    <s v="Serviços prestados às famílias"/>
    <n v="107.4"/>
    <n v="102.02325999999999"/>
    <d v="2017-06-01T00:00:00"/>
    <x v="5"/>
    <x v="6"/>
  </r>
  <r>
    <s v="São Paulo"/>
    <s v="Serviços prestados às famílias"/>
    <n v="103.59"/>
    <n v="103.49514000000001"/>
    <d v="2017-07-01T00:00:00"/>
    <x v="6"/>
    <x v="6"/>
  </r>
  <r>
    <s v="São Paulo"/>
    <s v="Serviços prestados às famílias"/>
    <n v="99.85"/>
    <n v="96.256129999999999"/>
    <d v="2017-08-01T00:00:00"/>
    <x v="7"/>
    <x v="6"/>
  </r>
  <r>
    <s v="São Paulo"/>
    <s v="Serviços prestados às famílias"/>
    <n v="102.78"/>
    <n v="103.3442"/>
    <d v="2017-09-01T00:00:00"/>
    <x v="8"/>
    <x v="6"/>
  </r>
  <r>
    <s v="São Paulo"/>
    <s v="Serviços prestados às famílias"/>
    <n v="99.25"/>
    <n v="103.23519"/>
    <d v="2017-10-01T00:00:00"/>
    <x v="9"/>
    <x v="6"/>
  </r>
  <r>
    <s v="São Paulo"/>
    <s v="Serviços prestados às famílias"/>
    <n v="100.36"/>
    <n v="102.03701"/>
    <d v="2017-11-01T00:00:00"/>
    <x v="10"/>
    <x v="6"/>
  </r>
  <r>
    <s v="São Paulo"/>
    <s v="Serviços prestados às famílias"/>
    <n v="96.53"/>
    <n v="109.57808"/>
    <d v="2017-12-01T00:00:00"/>
    <x v="11"/>
    <x v="6"/>
  </r>
  <r>
    <s v="São Paulo"/>
    <s v="Serviços prestados às famílias"/>
    <n v="92.42"/>
    <n v="95.096590000000006"/>
    <d v="2018-01-01T00:00:00"/>
    <x v="0"/>
    <x v="7"/>
  </r>
  <r>
    <s v="São Paulo"/>
    <s v="Serviços prestados às famílias"/>
    <n v="95.59"/>
    <n v="84.768339999999995"/>
    <d v="2018-02-01T00:00:00"/>
    <x v="1"/>
    <x v="7"/>
  </r>
  <r>
    <s v="São Paulo"/>
    <s v="Serviços prestados às famílias"/>
    <n v="102.46"/>
    <n v="104.63634999999999"/>
    <d v="2018-03-01T00:00:00"/>
    <x v="2"/>
    <x v="7"/>
  </r>
  <r>
    <s v="São Paulo"/>
    <s v="Serviços prestados às famílias"/>
    <n v="103.67"/>
    <n v="100.36566999999999"/>
    <d v="2018-04-01T00:00:00"/>
    <x v="3"/>
    <x v="7"/>
  </r>
  <r>
    <s v="São Paulo"/>
    <s v="Serviços prestados às famílias"/>
    <n v="99.56"/>
    <n v="96.490279999999998"/>
    <d v="2018-05-01T00:00:00"/>
    <x v="4"/>
    <x v="7"/>
  </r>
  <r>
    <s v="São Paulo"/>
    <s v="Serviços prestados às famílias"/>
    <n v="102.2"/>
    <n v="99.597560000000001"/>
    <d v="2018-06-01T00:00:00"/>
    <x v="5"/>
    <x v="7"/>
  </r>
  <r>
    <s v="São Paulo"/>
    <s v="Serviços prestados às famílias"/>
    <n v="106.06"/>
    <n v="105.58719000000001"/>
    <d v="2018-07-01T00:00:00"/>
    <x v="6"/>
    <x v="7"/>
  </r>
  <r>
    <s v="São Paulo"/>
    <s v="Serviços prestados às famílias"/>
    <n v="105.81"/>
    <n v="102.97154"/>
    <d v="2018-08-01T00:00:00"/>
    <x v="7"/>
    <x v="7"/>
  </r>
  <r>
    <s v="São Paulo"/>
    <s v="Serviços prestados às famílias"/>
    <n v="105.71"/>
    <n v="104.75951000000001"/>
    <d v="2018-09-01T00:00:00"/>
    <x v="8"/>
    <x v="7"/>
  </r>
  <r>
    <s v="São Paulo"/>
    <s v="Serviços prestados às famílias"/>
    <n v="103.99"/>
    <n v="109.13215"/>
    <d v="2018-10-01T00:00:00"/>
    <x v="9"/>
    <x v="7"/>
  </r>
  <r>
    <s v="São Paulo"/>
    <s v="Serviços prestados às famílias"/>
    <n v="103.79"/>
    <n v="106.96955"/>
    <d v="2018-11-01T00:00:00"/>
    <x v="10"/>
    <x v="7"/>
  </r>
  <r>
    <s v="São Paulo"/>
    <s v="Serviços prestados às famílias"/>
    <n v="103.68"/>
    <n v="114.98465"/>
    <d v="2018-12-01T00:00:00"/>
    <x v="11"/>
    <x v="7"/>
  </r>
  <r>
    <s v="São Paulo"/>
    <s v="Serviços prestados às famílias"/>
    <n v="107.37"/>
    <n v="107.93921"/>
    <d v="2019-01-01T00:00:00"/>
    <x v="0"/>
    <x v="8"/>
  </r>
  <r>
    <s v="São Paulo"/>
    <s v="Serviços prestados às famílias"/>
    <n v="108.73"/>
    <n v="98.479550000000003"/>
    <d v="2019-02-01T00:00:00"/>
    <x v="1"/>
    <x v="8"/>
  </r>
  <r>
    <s v="São Paulo"/>
    <s v="Serviços prestados às famílias"/>
    <n v="109.11"/>
    <n v="108.30127"/>
    <d v="2019-03-01T00:00:00"/>
    <x v="2"/>
    <x v="8"/>
  </r>
  <r>
    <s v="São Paulo"/>
    <s v="Serviços prestados às famílias"/>
    <n v="111.61"/>
    <n v="109.70997"/>
    <d v="2019-04-01T00:00:00"/>
    <x v="3"/>
    <x v="8"/>
  </r>
  <r>
    <s v="São Paulo"/>
    <s v="Serviços prestados às famílias"/>
    <n v="109.05"/>
    <n v="108.27437999999999"/>
    <d v="2019-05-01T00:00:00"/>
    <x v="4"/>
    <x v="8"/>
  </r>
  <r>
    <s v="São Paulo"/>
    <s v="Serviços prestados às famílias"/>
    <n v="109.36"/>
    <n v="104.86418"/>
    <d v="2019-06-01T00:00:00"/>
    <x v="5"/>
    <x v="8"/>
  </r>
  <r>
    <s v="São Paulo"/>
    <s v="Serviços prestados às famílias"/>
    <n v="108.96"/>
    <n v="110.25485"/>
    <d v="2019-07-01T00:00:00"/>
    <x v="6"/>
    <x v="8"/>
  </r>
  <r>
    <s v="São Paulo"/>
    <s v="Serviços prestados às famílias"/>
    <n v="106.04"/>
    <n v="105.04895"/>
    <d v="2019-08-01T00:00:00"/>
    <x v="7"/>
    <x v="8"/>
  </r>
  <r>
    <s v="São Paulo"/>
    <s v="Serviços prestados às famílias"/>
    <n v="106.52"/>
    <n v="104.98583000000001"/>
    <d v="2019-09-01T00:00:00"/>
    <x v="8"/>
    <x v="8"/>
  </r>
  <r>
    <s v="São Paulo"/>
    <s v="Serviços prestados às famílias"/>
    <n v="108.24"/>
    <n v="112.12853"/>
    <d v="2019-10-01T00:00:00"/>
    <x v="9"/>
    <x v="8"/>
  </r>
  <r>
    <s v="São Paulo"/>
    <s v="Serviços prestados às famílias"/>
    <n v="103.3"/>
    <n v="108.77032"/>
    <d v="2019-11-01T00:00:00"/>
    <x v="10"/>
    <x v="8"/>
  </r>
  <r>
    <s v="São Paulo"/>
    <s v="Serviços prestados às famílias"/>
    <n v="103.92"/>
    <n v="113.20789000000001"/>
    <d v="2019-12-01T00:00:00"/>
    <x v="11"/>
    <x v="8"/>
  </r>
  <r>
    <s v="São Paulo"/>
    <s v="Serviços prestados às famílias"/>
    <n v="104.66"/>
    <n v="105.69826"/>
    <d v="2020-01-01T00:00:00"/>
    <x v="0"/>
    <x v="9"/>
  </r>
  <r>
    <s v="São Paulo"/>
    <s v="Serviços prestados às famílias"/>
    <n v="105.39"/>
    <n v="96.685220000000001"/>
    <d v="2020-02-01T00:00:00"/>
    <x v="1"/>
    <x v="9"/>
  </r>
  <r>
    <s v="São Paulo"/>
    <s v="Serviços prestados às famílias"/>
    <n v="73.23"/>
    <n v="72.018889999999999"/>
    <d v="2020-03-01T00:00:00"/>
    <x v="2"/>
    <x v="9"/>
  </r>
  <r>
    <s v="São Paulo"/>
    <s v="Serviços prestados às famílias"/>
    <n v="40.78"/>
    <n v="37.493160000000003"/>
    <d v="2020-04-01T00:00:00"/>
    <x v="3"/>
    <x v="9"/>
  </r>
  <r>
    <s v="São Paulo"/>
    <s v="Serviços prestados às famílias"/>
    <n v="38.78"/>
    <n v="39.276629999999997"/>
    <d v="2020-05-01T00:00:00"/>
    <x v="4"/>
    <x v="9"/>
  </r>
  <r>
    <s v="São Paulo"/>
    <s v="Serviços prestados às famílias"/>
    <n v="46.64"/>
    <n v="42.956099999999999"/>
    <d v="2020-06-01T00:00:00"/>
    <x v="5"/>
    <x v="9"/>
  </r>
  <r>
    <s v="São Paulo"/>
    <s v="Serviços prestados às famílias"/>
    <n v="49.35"/>
    <n v="50.788580000000003"/>
    <d v="2020-07-01T00:00:00"/>
    <x v="6"/>
    <x v="9"/>
  </r>
  <r>
    <s v="São Paulo"/>
    <s v="Serviços prestados às famílias"/>
    <n v="59.77"/>
    <n v="57.63212"/>
    <d v="2020-08-01T00:00:00"/>
    <x v="7"/>
    <x v="9"/>
  </r>
  <r>
    <s v="São Paulo"/>
    <s v="Serviços prestados às famílias"/>
    <n v="65.83"/>
    <n v="64.636409999999998"/>
    <d v="2020-09-01T00:00:00"/>
    <x v="8"/>
    <x v="9"/>
  </r>
  <r>
    <s v="São Paulo"/>
    <s v="Serviços prestados às famílias"/>
    <n v="67.66"/>
    <n v="73.644139999999993"/>
    <d v="2020-10-01T00:00:00"/>
    <x v="9"/>
    <x v="9"/>
  </r>
  <r>
    <s v="São Paulo"/>
    <s v="Serviços prestados às famílias"/>
    <n v="73.87"/>
    <n v="76.577699999999993"/>
    <d v="2020-11-01T00:00:00"/>
    <x v="10"/>
    <x v="9"/>
  </r>
  <r>
    <s v="São Paulo"/>
    <s v="Serviços prestados às famílias"/>
    <n v="72.569999999999993"/>
    <n v="83.007810000000006"/>
    <d v="2020-12-01T00:00:00"/>
    <x v="11"/>
    <x v="9"/>
  </r>
  <r>
    <s v="São Paulo"/>
    <s v="Serviços prestados às famílias"/>
    <n v="71.03"/>
    <n v="72.705550000000002"/>
    <d v="2021-01-01T00:00:00"/>
    <x v="0"/>
    <x v="10"/>
  </r>
  <r>
    <s v="São Paulo"/>
    <s v="Serviços prestados às famílias"/>
    <n v="79.17"/>
    <n v="66.192930000000004"/>
    <d v="2021-02-01T00:00:00"/>
    <x v="1"/>
    <x v="10"/>
  </r>
  <r>
    <s v="São Paulo"/>
    <s v="Serviços prestados às famílias"/>
    <n v="56.19"/>
    <n v="56.263199999999998"/>
    <d v="2021-03-01T00:00:00"/>
    <x v="2"/>
    <x v="10"/>
  </r>
  <r>
    <s v="São Paulo"/>
    <s v="Serviços prestados às famílias"/>
    <n v="60.57"/>
    <n v="57.481549999999999"/>
    <d v="2021-04-01T00:00:00"/>
    <x v="3"/>
    <x v="10"/>
  </r>
  <r>
    <s v="São Paulo"/>
    <s v="Serviços prestados às famílias"/>
    <n v="67.77"/>
    <n v="68.061340000000001"/>
    <d v="2021-05-01T00:00:00"/>
    <x v="4"/>
    <x v="10"/>
  </r>
  <r>
    <s v="São Paulo"/>
    <s v="Serviços prestados às famílias"/>
    <n v="74.510000000000005"/>
    <n v="70.335509999999999"/>
    <d v="2021-06-01T00:00:00"/>
    <x v="5"/>
    <x v="10"/>
  </r>
  <r>
    <s v="São Paulo"/>
    <s v="Serviços prestados às famílias"/>
    <n v="76.8"/>
    <n v="79.794499999999999"/>
    <d v="2021-07-01T00:00:00"/>
    <x v="6"/>
    <x v="10"/>
  </r>
  <r>
    <s v="São Paulo"/>
    <s v="Serviços prestados às famílias"/>
    <n v="82.56"/>
    <n v="78.718800000000002"/>
    <d v="2021-08-01T00:00:00"/>
    <x v="7"/>
    <x v="10"/>
  </r>
  <r>
    <s v="São Paulo"/>
    <s v="Serviços prestados às famílias"/>
    <n v="82.69"/>
    <n v="80.537649999999999"/>
    <d v="2021-09-01T00:00:00"/>
    <x v="8"/>
    <x v="10"/>
  </r>
  <r>
    <s v="São Paulo"/>
    <s v="Serviços prestados às famílias"/>
    <n v="85.32"/>
    <n v="90.134839999999997"/>
    <d v="2021-10-01T00:00:00"/>
    <x v="9"/>
    <x v="10"/>
  </r>
  <r>
    <s v="São Paulo"/>
    <s v="Serviços prestados às famílias"/>
    <n v="89.17"/>
    <n v="93.77861"/>
    <d v="2021-11-01T00:00:00"/>
    <x v="10"/>
    <x v="10"/>
  </r>
  <r>
    <s v="São Paulo"/>
    <s v="Serviços prestados às famílias"/>
    <n v="92.31"/>
    <n v="105.14771"/>
    <d v="2021-12-01T00:00:00"/>
    <x v="11"/>
    <x v="10"/>
  </r>
  <r>
    <s v="São Paulo"/>
    <s v="Serviços prestados às famílias"/>
    <n v="89.39"/>
    <n v="91.042249999999996"/>
    <d v="2022-01-01T00:00:00"/>
    <x v="0"/>
    <x v="11"/>
  </r>
  <r>
    <s v="São Paulo"/>
    <s v="Serviços prestados às famílias"/>
    <n v="95.14"/>
    <n v="81.84693"/>
    <d v="2022-02-01T00:00:00"/>
    <x v="1"/>
    <x v="11"/>
  </r>
  <r>
    <s v="São Paulo"/>
    <s v="Serviços prestados às famílias"/>
    <n v="99.72"/>
    <n v="98.588220000000007"/>
    <d v="2022-03-01T00:00:00"/>
    <x v="2"/>
    <x v="11"/>
  </r>
  <r>
    <s v="São Paulo"/>
    <s v="Serviços prestados às famílias"/>
    <n v="99.49"/>
    <n v="97.424109999999999"/>
    <d v="2022-04-01T00:00:00"/>
    <x v="3"/>
    <x v="11"/>
  </r>
  <r>
    <s v="São Paulo"/>
    <s v="Serviços prestados às famílias"/>
    <n v="101.73"/>
    <n v="100.23226"/>
    <d v="2022-05-01T00:00:00"/>
    <x v="4"/>
    <x v="11"/>
  </r>
  <r>
    <s v="São Paulo"/>
    <s v="Serviços prestados às famílias"/>
    <n v="99.92"/>
    <n v="95.621290000000002"/>
    <d v="2022-06-01T00:00:00"/>
    <x v="5"/>
    <x v="11"/>
  </r>
  <r>
    <s v="São Paulo"/>
    <s v="Serviços prestados às famílias"/>
    <n v="100.39"/>
    <n v="102.71903"/>
    <d v="2022-07-01T00:00:00"/>
    <x v="6"/>
    <x v="11"/>
  </r>
  <r>
    <s v="São Paulo"/>
    <s v="Serviços prestados às famílias"/>
    <n v="103.93"/>
    <n v="101.01112000000001"/>
    <d v="2022-08-01T00:00:00"/>
    <x v="7"/>
    <x v="11"/>
  </r>
  <r>
    <s v="São Paulo"/>
    <s v="Serviços prestados às famílias"/>
    <n v="105.21"/>
    <n v="103.12694"/>
    <d v="2022-09-01T00:00:00"/>
    <x v="8"/>
    <x v="11"/>
  </r>
  <r>
    <s v="São Paulo"/>
    <s v="Serviços prestados às famílias"/>
    <n v="102.53"/>
    <n v="106.82458"/>
    <d v="2022-10-01T00:00:00"/>
    <x v="9"/>
    <x v="11"/>
  </r>
  <r>
    <s v="São Paulo"/>
    <s v="Serviços prestados às famílias"/>
    <n v="100.47"/>
    <n v="105.07463"/>
    <d v="2022-11-01T00:00:00"/>
    <x v="10"/>
    <x v="11"/>
  </r>
  <r>
    <s v="São Paulo"/>
    <s v="Serviços prestados às famílias"/>
    <n v="100.43"/>
    <n v="116.48864"/>
    <d v="2022-12-01T00:00:00"/>
    <x v="11"/>
    <x v="11"/>
  </r>
  <r>
    <s v="São Paulo"/>
    <s v="Serviços prestados às famílias"/>
    <n v="105.56"/>
    <n v="106.07729999999999"/>
    <d v="2023-01-01T00:00:00"/>
    <x v="0"/>
    <x v="12"/>
  </r>
  <r>
    <s v="São Paulo"/>
    <s v="Serviços prestados às famílias"/>
    <n v="102.38"/>
    <n v="88.49718"/>
    <d v="2023-02-01T00:00:00"/>
    <x v="1"/>
    <x v="12"/>
  </r>
  <r>
    <s v="São Paulo"/>
    <s v="Serviços prestados às famílias"/>
    <n v="103.02"/>
    <n v="102.77719"/>
    <d v="2023-03-01T00:00:00"/>
    <x v="2"/>
    <x v="12"/>
  </r>
  <r>
    <s v="São Paulo"/>
    <s v="Serviços prestados às famílias"/>
    <n v="101.46"/>
    <n v="96.660229999999999"/>
    <d v="2023-04-01T00:00:00"/>
    <x v="3"/>
    <x v="12"/>
  </r>
  <r>
    <s v="São Paulo"/>
    <s v="Serviços prestados às famílias"/>
    <n v="98.31"/>
    <n v="97.718040000000002"/>
    <d v="2023-05-01T00:00:00"/>
    <x v="4"/>
    <x v="12"/>
  </r>
  <r>
    <s v="São Paulo"/>
    <s v="Serviços prestados às famílias"/>
    <n v="101.55"/>
    <n v="97.943849999999998"/>
    <d v="2023-06-01T00:00:00"/>
    <x v="5"/>
    <x v="12"/>
  </r>
  <r>
    <s v="São Paulo"/>
    <s v="Serviços prestados às famílias"/>
    <n v="107.71"/>
    <n v="110.11081"/>
    <d v="2023-07-01T00:00:00"/>
    <x v="6"/>
    <x v="12"/>
  </r>
  <r>
    <s v="São Paulo"/>
    <s v="Serviços prestados às famílias"/>
    <n v="99.54"/>
    <n v="95.369169999999997"/>
    <d v="2023-08-01T00:00:00"/>
    <x v="7"/>
    <x v="12"/>
  </r>
  <r>
    <s v="São Paulo"/>
    <s v="Serviços prestados às famílias"/>
    <n v="99.25"/>
    <n v="98.430729999999997"/>
    <d v="2023-09-01T00:00:00"/>
    <x v="8"/>
    <x v="12"/>
  </r>
  <r>
    <s v="São Paulo"/>
    <s v="Serviços prestados às famílias"/>
    <n v="101.25"/>
    <n v="104.07053999999999"/>
    <d v="2023-10-01T00:00:00"/>
    <x v="9"/>
    <x v="12"/>
  </r>
  <r>
    <s v="São Paulo"/>
    <s v="Serviços prestados às famílias"/>
    <n v="106.88"/>
    <n v="111.40115"/>
    <d v="2023-11-01T00:00:00"/>
    <x v="10"/>
    <x v="12"/>
  </r>
  <r>
    <s v="São Paulo"/>
    <s v="Serviços prestados às famílias"/>
    <n v="108.56"/>
    <n v="124.82553"/>
    <d v="2023-12-01T00:00:00"/>
    <x v="11"/>
    <x v="12"/>
  </r>
  <r>
    <s v="São Paulo"/>
    <s v="Serviços prestados às famílias"/>
    <n v="107.6"/>
    <n v="109.85115999999999"/>
    <d v="2024-01-01T00:00:00"/>
    <x v="0"/>
    <x v="13"/>
  </r>
  <r>
    <s v="São Paulo"/>
    <s v="Serviços prestados às famílias"/>
    <n v="105.72"/>
    <n v="93.46848"/>
    <d v="2024-02-01T00:00:00"/>
    <x v="1"/>
    <x v="13"/>
  </r>
  <r>
    <s v="São Paulo"/>
    <s v="Serviços prestados às famílias"/>
    <n v="104.87"/>
    <n v="105.32315"/>
    <d v="2024-03-01T00:00:00"/>
    <x v="2"/>
    <x v="13"/>
  </r>
  <r>
    <s v="São Paulo"/>
    <s v="Serviços prestados às famílias"/>
    <n v="104.84"/>
    <n v="100.01896000000001"/>
    <d v="2024-04-01T00:00:00"/>
    <x v="3"/>
    <x v="13"/>
  </r>
  <r>
    <s v="São Paulo"/>
    <s v="Serviços prestados às famílias"/>
    <n v="108.09"/>
    <n v="106.85301"/>
    <d v="2024-05-01T00:00:00"/>
    <x v="4"/>
    <x v="13"/>
  </r>
  <r>
    <s v="São Paulo"/>
    <s v="Serviços prestados às famílias"/>
    <n v="108.51"/>
    <n v="104.50557999999999"/>
    <d v="2024-06-01T00:00:00"/>
    <x v="5"/>
    <x v="13"/>
  </r>
  <r>
    <s v="São Paulo"/>
    <s v="Serviços prestados às famílias"/>
    <n v="110.42"/>
    <n v="113.08036"/>
    <d v="2024-07-01T00:00:00"/>
    <x v="6"/>
    <x v="13"/>
  </r>
  <r>
    <s v="São Paulo"/>
    <s v="Serviços prestados às famílias"/>
    <n v="107.46"/>
    <n v="105.41306"/>
    <d v="2024-08-01T00:00:00"/>
    <x v="7"/>
    <x v="13"/>
  </r>
  <r>
    <s v="São Paulo"/>
    <s v="Serviços prestados às famílias"/>
    <n v="107.48"/>
    <n v="102.89103"/>
    <d v="2024-09-01T00:00:00"/>
    <x v="8"/>
    <x v="13"/>
  </r>
  <r>
    <s v="São Paulo"/>
    <s v="Serviços prestados às famílias"/>
    <n v="110.65"/>
    <n v="114.0386"/>
    <d v="2024-10-01T00:00:00"/>
    <x v="9"/>
    <x v="13"/>
  </r>
  <r>
    <s v="São Paulo"/>
    <s v="Serviços prestados às famílias"/>
    <n v="107.53"/>
    <n v="114.95052"/>
    <d v="2024-11-01T00:00:00"/>
    <x v="10"/>
    <x v="13"/>
  </r>
  <r>
    <s v="São Paulo"/>
    <s v="Serviços prestados às famílias"/>
    <n v="113.18"/>
    <n v="128.34293"/>
    <d v="2024-12-01T00:00:00"/>
    <x v="11"/>
    <x v="13"/>
  </r>
  <r>
    <s v="São Paulo"/>
    <s v="Serviços prestados às famílias"/>
    <n v="106.96"/>
    <n v="109.64302000000001"/>
    <d v="2025-01-01T00:00:00"/>
    <x v="0"/>
    <x v="14"/>
  </r>
  <r>
    <s v="São Paulo"/>
    <s v="Serviços prestados às famílias"/>
    <n v="107.08"/>
    <n v="93.839340000000007"/>
    <d v="2025-02-01T00:00:00"/>
    <x v="1"/>
    <x v="14"/>
  </r>
  <r>
    <s v="São Paulo"/>
    <s v="Serviços prestados às famílias"/>
    <n v="107.94"/>
    <n v="106.36599"/>
    <d v="2025-03-01T00:00:00"/>
    <x v="2"/>
    <x v="14"/>
  </r>
  <r>
    <s v="São Paulo"/>
    <s v="Serviços prestados às famílias"/>
    <n v="109.68"/>
    <n v="104.52422"/>
    <d v="2025-04-01T00:00:00"/>
    <x v="3"/>
    <x v="14"/>
  </r>
  <r>
    <s v="São Paulo"/>
    <s v="Serviços prestados às famílias"/>
    <n v="107.19"/>
    <n v="107.38896"/>
    <d v="2025-05-01T00:00:00"/>
    <x v="4"/>
    <x v="14"/>
  </r>
  <r>
    <s v="São Paulo"/>
    <s v="Serviços prestados às famílias"/>
    <n v="107.24"/>
    <n v="101.7975"/>
    <d v="2025-06-01T00:00:00"/>
    <x v="5"/>
    <x v="14"/>
  </r>
  <r>
    <s v="São Paulo"/>
    <s v="Serviços prestados às famílias"/>
    <n v="108.7"/>
    <n v="110.91119"/>
    <d v="2025-07-01T00:00:00"/>
    <x v="6"/>
    <x v="14"/>
  </r>
  <r>
    <s v="São Paulo"/>
    <s v="Serviços prestados às famílias"/>
    <n v="109.38"/>
    <n v="105.97723999999999"/>
    <d v="2025-08-01T00:00:00"/>
    <x v="7"/>
    <x v="14"/>
  </r>
  <r>
    <s v="São Paulo"/>
    <s v="Serviços (Total)"/>
    <n v="78.03"/>
    <n v="73.630830000000003"/>
    <d v="2011-01-01T00:00:00"/>
    <x v="0"/>
    <x v="0"/>
  </r>
  <r>
    <s v="São Paulo"/>
    <s v="Serviços (Total)"/>
    <n v="78.650000000000006"/>
    <n v="73.314260000000004"/>
    <d v="2011-02-01T00:00:00"/>
    <x v="1"/>
    <x v="0"/>
  </r>
  <r>
    <s v="São Paulo"/>
    <s v="Serviços (Total)"/>
    <n v="79"/>
    <n v="77.555009999999996"/>
    <d v="2011-03-01T00:00:00"/>
    <x v="2"/>
    <x v="0"/>
  </r>
  <r>
    <s v="São Paulo"/>
    <s v="Serviços (Total)"/>
    <n v="80.36"/>
    <n v="77.562669999999997"/>
    <d v="2011-04-01T00:00:00"/>
    <x v="3"/>
    <x v="0"/>
  </r>
  <r>
    <s v="São Paulo"/>
    <s v="Serviços (Total)"/>
    <n v="80.66"/>
    <n v="80.377809999999997"/>
    <d v="2011-05-01T00:00:00"/>
    <x v="4"/>
    <x v="0"/>
  </r>
  <r>
    <s v="São Paulo"/>
    <s v="Serviços (Total)"/>
    <n v="80.97"/>
    <n v="80.248559999999998"/>
    <d v="2011-06-01T00:00:00"/>
    <x v="5"/>
    <x v="0"/>
  </r>
  <r>
    <s v="São Paulo"/>
    <s v="Serviços (Total)"/>
    <n v="81.819999999999993"/>
    <n v="80.693619999999996"/>
    <d v="2011-07-01T00:00:00"/>
    <x v="6"/>
    <x v="0"/>
  </r>
  <r>
    <s v="São Paulo"/>
    <s v="Serviços (Total)"/>
    <n v="81.540000000000006"/>
    <n v="83.146749999999997"/>
    <d v="2011-08-01T00:00:00"/>
    <x v="7"/>
    <x v="0"/>
  </r>
  <r>
    <s v="São Paulo"/>
    <s v="Serviços (Total)"/>
    <n v="80.569999999999993"/>
    <n v="82.117900000000006"/>
    <d v="2011-09-01T00:00:00"/>
    <x v="8"/>
    <x v="0"/>
  </r>
  <r>
    <s v="São Paulo"/>
    <s v="Serviços (Total)"/>
    <n v="80.33"/>
    <n v="81.557609999999997"/>
    <d v="2011-10-01T00:00:00"/>
    <x v="9"/>
    <x v="0"/>
  </r>
  <r>
    <s v="São Paulo"/>
    <s v="Serviços (Total)"/>
    <n v="80.89"/>
    <n v="83.477950000000007"/>
    <d v="2011-11-01T00:00:00"/>
    <x v="10"/>
    <x v="0"/>
  </r>
  <r>
    <s v="São Paulo"/>
    <s v="Serviços (Total)"/>
    <n v="80.64"/>
    <n v="88.894639999999995"/>
    <d v="2011-12-01T00:00:00"/>
    <x v="11"/>
    <x v="0"/>
  </r>
  <r>
    <s v="São Paulo"/>
    <s v="Serviços (Total)"/>
    <n v="81.13"/>
    <n v="77.369990000000001"/>
    <d v="2012-01-01T00:00:00"/>
    <x v="0"/>
    <x v="1"/>
  </r>
  <r>
    <s v="São Paulo"/>
    <s v="Serviços (Total)"/>
    <n v="81.37"/>
    <n v="76.393249999999995"/>
    <d v="2012-02-01T00:00:00"/>
    <x v="1"/>
    <x v="1"/>
  </r>
  <r>
    <s v="São Paulo"/>
    <s v="Serviços (Total)"/>
    <n v="82.56"/>
    <n v="82.876279999999994"/>
    <d v="2012-03-01T00:00:00"/>
    <x v="2"/>
    <x v="1"/>
  </r>
  <r>
    <s v="São Paulo"/>
    <s v="Serviços (Total)"/>
    <n v="81.92"/>
    <n v="78.618250000000003"/>
    <d v="2012-04-01T00:00:00"/>
    <x v="3"/>
    <x v="1"/>
  </r>
  <r>
    <s v="São Paulo"/>
    <s v="Serviços (Total)"/>
    <n v="82.98"/>
    <n v="83.44014"/>
    <d v="2012-05-01T00:00:00"/>
    <x v="4"/>
    <x v="1"/>
  </r>
  <r>
    <s v="São Paulo"/>
    <s v="Serviços (Total)"/>
    <n v="82.78"/>
    <n v="81.798000000000002"/>
    <d v="2012-06-01T00:00:00"/>
    <x v="5"/>
    <x v="1"/>
  </r>
  <r>
    <s v="São Paulo"/>
    <s v="Serviços (Total)"/>
    <n v="83.66"/>
    <n v="82.870339999999999"/>
    <d v="2012-07-01T00:00:00"/>
    <x v="6"/>
    <x v="1"/>
  </r>
  <r>
    <s v="São Paulo"/>
    <s v="Serviços (Total)"/>
    <n v="84.49"/>
    <n v="86.419280000000001"/>
    <d v="2012-08-01T00:00:00"/>
    <x v="7"/>
    <x v="1"/>
  </r>
  <r>
    <s v="São Paulo"/>
    <s v="Serviços (Total)"/>
    <n v="84.38"/>
    <n v="84.573809999999995"/>
    <d v="2012-09-01T00:00:00"/>
    <x v="8"/>
    <x v="1"/>
  </r>
  <r>
    <s v="São Paulo"/>
    <s v="Serviços (Total)"/>
    <n v="84.32"/>
    <n v="87.119929999999997"/>
    <d v="2012-10-01T00:00:00"/>
    <x v="9"/>
    <x v="1"/>
  </r>
  <r>
    <s v="São Paulo"/>
    <s v="Serviços (Total)"/>
    <n v="84.43"/>
    <n v="87.046959999999999"/>
    <d v="2012-11-01T00:00:00"/>
    <x v="10"/>
    <x v="1"/>
  </r>
  <r>
    <s v="São Paulo"/>
    <s v="Serviços (Total)"/>
    <n v="86.23"/>
    <n v="93.907740000000004"/>
    <d v="2012-12-01T00:00:00"/>
    <x v="11"/>
    <x v="1"/>
  </r>
  <r>
    <s v="São Paulo"/>
    <s v="Serviços (Total)"/>
    <n v="86.24"/>
    <n v="82.988519999999994"/>
    <d v="2013-01-01T00:00:00"/>
    <x v="0"/>
    <x v="2"/>
  </r>
  <r>
    <s v="São Paulo"/>
    <s v="Serviços (Total)"/>
    <n v="87.32"/>
    <n v="78.886200000000002"/>
    <d v="2013-02-01T00:00:00"/>
    <x v="1"/>
    <x v="2"/>
  </r>
  <r>
    <s v="São Paulo"/>
    <s v="Serviços (Total)"/>
    <n v="85.5"/>
    <n v="84.199780000000004"/>
    <d v="2013-03-01T00:00:00"/>
    <x v="2"/>
    <x v="2"/>
  </r>
  <r>
    <s v="São Paulo"/>
    <s v="Serviços (Total)"/>
    <n v="87.6"/>
    <n v="85.900139999999993"/>
    <d v="2013-04-01T00:00:00"/>
    <x v="3"/>
    <x v="2"/>
  </r>
  <r>
    <s v="São Paulo"/>
    <s v="Serviços (Total)"/>
    <n v="87.17"/>
    <n v="87.215630000000004"/>
    <d v="2013-05-01T00:00:00"/>
    <x v="4"/>
    <x v="2"/>
  </r>
  <r>
    <s v="São Paulo"/>
    <s v="Serviços (Total)"/>
    <n v="87.52"/>
    <n v="86.300910000000002"/>
    <d v="2013-06-01T00:00:00"/>
    <x v="5"/>
    <x v="2"/>
  </r>
  <r>
    <s v="São Paulo"/>
    <s v="Serviços (Total)"/>
    <n v="87.09"/>
    <n v="86.939490000000006"/>
    <d v="2013-07-01T00:00:00"/>
    <x v="6"/>
    <x v="2"/>
  </r>
  <r>
    <s v="São Paulo"/>
    <s v="Serviços (Total)"/>
    <n v="86.52"/>
    <n v="87.751109999999997"/>
    <d v="2013-08-01T00:00:00"/>
    <x v="7"/>
    <x v="2"/>
  </r>
  <r>
    <s v="São Paulo"/>
    <s v="Serviços (Total)"/>
    <n v="87.82"/>
    <n v="88.461680000000001"/>
    <d v="2013-09-01T00:00:00"/>
    <x v="8"/>
    <x v="2"/>
  </r>
  <r>
    <s v="São Paulo"/>
    <s v="Serviços (Total)"/>
    <n v="88.95"/>
    <n v="92.043880000000001"/>
    <d v="2013-10-01T00:00:00"/>
    <x v="9"/>
    <x v="2"/>
  </r>
  <r>
    <s v="São Paulo"/>
    <s v="Serviços (Total)"/>
    <n v="89.47"/>
    <n v="91.540800000000004"/>
    <d v="2013-11-01T00:00:00"/>
    <x v="10"/>
    <x v="2"/>
  </r>
  <r>
    <s v="São Paulo"/>
    <s v="Serviços (Total)"/>
    <n v="89.52"/>
    <n v="98.622649999999993"/>
    <d v="2013-12-01T00:00:00"/>
    <x v="11"/>
    <x v="2"/>
  </r>
  <r>
    <s v="São Paulo"/>
    <s v="Serviços (Total)"/>
    <n v="92.39"/>
    <n v="88.929169999999999"/>
    <d v="2014-01-01T00:00:00"/>
    <x v="0"/>
    <x v="3"/>
  </r>
  <r>
    <s v="São Paulo"/>
    <s v="Serviços (Total)"/>
    <n v="89.04"/>
    <n v="82.195170000000005"/>
    <d v="2014-02-01T00:00:00"/>
    <x v="1"/>
    <x v="3"/>
  </r>
  <r>
    <s v="São Paulo"/>
    <s v="Serviços (Total)"/>
    <n v="89.19"/>
    <n v="86.438680000000005"/>
    <d v="2014-03-01T00:00:00"/>
    <x v="2"/>
    <x v="3"/>
  </r>
  <r>
    <s v="São Paulo"/>
    <s v="Serviços (Total)"/>
    <n v="89.18"/>
    <n v="86.527919999999995"/>
    <d v="2014-04-01T00:00:00"/>
    <x v="3"/>
    <x v="3"/>
  </r>
  <r>
    <s v="São Paulo"/>
    <s v="Serviços (Total)"/>
    <n v="89.05"/>
    <n v="88.844880000000003"/>
    <d v="2014-05-01T00:00:00"/>
    <x v="4"/>
    <x v="3"/>
  </r>
  <r>
    <s v="São Paulo"/>
    <s v="Serviços (Total)"/>
    <n v="88.49"/>
    <n v="87.364400000000003"/>
    <d v="2014-06-01T00:00:00"/>
    <x v="5"/>
    <x v="3"/>
  </r>
  <r>
    <s v="São Paulo"/>
    <s v="Serviços (Total)"/>
    <n v="89.12"/>
    <n v="89.188400000000001"/>
    <d v="2014-07-01T00:00:00"/>
    <x v="6"/>
    <x v="3"/>
  </r>
  <r>
    <s v="São Paulo"/>
    <s v="Serviços (Total)"/>
    <n v="89.28"/>
    <n v="90.001940000000005"/>
    <d v="2014-08-01T00:00:00"/>
    <x v="7"/>
    <x v="3"/>
  </r>
  <r>
    <s v="São Paulo"/>
    <s v="Serviços (Total)"/>
    <n v="91.18"/>
    <n v="92.705569999999994"/>
    <d v="2014-09-01T00:00:00"/>
    <x v="8"/>
    <x v="3"/>
  </r>
  <r>
    <s v="São Paulo"/>
    <s v="Serviços (Total)"/>
    <n v="91.54"/>
    <n v="94.745260000000002"/>
    <d v="2014-10-01T00:00:00"/>
    <x v="9"/>
    <x v="3"/>
  </r>
  <r>
    <s v="São Paulo"/>
    <s v="Serviços (Total)"/>
    <n v="91.34"/>
    <n v="92.521370000000005"/>
    <d v="2014-11-01T00:00:00"/>
    <x v="10"/>
    <x v="3"/>
  </r>
  <r>
    <s v="São Paulo"/>
    <s v="Serviços (Total)"/>
    <n v="89.33"/>
    <n v="99.251329999999996"/>
    <d v="2014-12-01T00:00:00"/>
    <x v="11"/>
    <x v="3"/>
  </r>
  <r>
    <s v="São Paulo"/>
    <s v="Serviços (Total)"/>
    <n v="89.61"/>
    <n v="85.477810000000005"/>
    <d v="2015-01-01T00:00:00"/>
    <x v="0"/>
    <x v="4"/>
  </r>
  <r>
    <s v="São Paulo"/>
    <s v="Serviços (Total)"/>
    <n v="90.61"/>
    <n v="81.726119999999995"/>
    <d v="2015-02-01T00:00:00"/>
    <x v="1"/>
    <x v="4"/>
  </r>
  <r>
    <s v="São Paulo"/>
    <s v="Serviços (Total)"/>
    <n v="91"/>
    <n v="91.112520000000004"/>
    <d v="2015-03-01T00:00:00"/>
    <x v="2"/>
    <x v="4"/>
  </r>
  <r>
    <s v="São Paulo"/>
    <s v="Serviços (Total)"/>
    <n v="88.74"/>
    <n v="85.698080000000004"/>
    <d v="2015-04-01T00:00:00"/>
    <x v="3"/>
    <x v="4"/>
  </r>
  <r>
    <s v="São Paulo"/>
    <s v="Serviços (Total)"/>
    <n v="88.21"/>
    <n v="87.527150000000006"/>
    <d v="2015-05-01T00:00:00"/>
    <x v="4"/>
    <x v="4"/>
  </r>
  <r>
    <s v="São Paulo"/>
    <s v="Serviços (Total)"/>
    <n v="87.49"/>
    <n v="87.319940000000003"/>
    <d v="2015-06-01T00:00:00"/>
    <x v="5"/>
    <x v="4"/>
  </r>
  <r>
    <s v="São Paulo"/>
    <s v="Serviços (Total)"/>
    <n v="86.03"/>
    <n v="86.168750000000003"/>
    <d v="2015-07-01T00:00:00"/>
    <x v="6"/>
    <x v="4"/>
  </r>
  <r>
    <s v="São Paulo"/>
    <s v="Serviços (Total)"/>
    <n v="86.46"/>
    <n v="86.481290000000001"/>
    <d v="2015-08-01T00:00:00"/>
    <x v="7"/>
    <x v="4"/>
  </r>
  <r>
    <s v="São Paulo"/>
    <s v="Serviços (Total)"/>
    <n v="85.28"/>
    <n v="87.08887"/>
    <d v="2015-09-01T00:00:00"/>
    <x v="8"/>
    <x v="4"/>
  </r>
  <r>
    <s v="São Paulo"/>
    <s v="Serviços (Total)"/>
    <n v="85.77"/>
    <n v="88.001140000000007"/>
    <d v="2015-10-01T00:00:00"/>
    <x v="9"/>
    <x v="4"/>
  </r>
  <r>
    <s v="São Paulo"/>
    <s v="Serviços (Total)"/>
    <n v="84.78"/>
    <n v="86.356099999999998"/>
    <d v="2015-11-01T00:00:00"/>
    <x v="10"/>
    <x v="4"/>
  </r>
  <r>
    <s v="São Paulo"/>
    <s v="Serviços (Total)"/>
    <n v="84.05"/>
    <n v="93.736109999999996"/>
    <d v="2015-12-01T00:00:00"/>
    <x v="11"/>
    <x v="4"/>
  </r>
  <r>
    <s v="São Paulo"/>
    <s v="Serviços (Total)"/>
    <n v="85.07"/>
    <n v="80.675150000000002"/>
    <d v="2016-01-01T00:00:00"/>
    <x v="0"/>
    <x v="5"/>
  </r>
  <r>
    <s v="São Paulo"/>
    <s v="Serviços (Total)"/>
    <n v="83.26"/>
    <n v="77.604079999999996"/>
    <d v="2016-02-01T00:00:00"/>
    <x v="1"/>
    <x v="5"/>
  </r>
  <r>
    <s v="São Paulo"/>
    <s v="Serviços (Total)"/>
    <n v="85.66"/>
    <n v="85.364360000000005"/>
    <d v="2016-03-01T00:00:00"/>
    <x v="2"/>
    <x v="5"/>
  </r>
  <r>
    <s v="São Paulo"/>
    <s v="Serviços (Total)"/>
    <n v="84.28"/>
    <n v="82.005369999999999"/>
    <d v="2016-04-01T00:00:00"/>
    <x v="3"/>
    <x v="5"/>
  </r>
  <r>
    <s v="São Paulo"/>
    <s v="Serviços (Total)"/>
    <n v="83.93"/>
    <n v="82.176609999999997"/>
    <d v="2016-05-01T00:00:00"/>
    <x v="4"/>
    <x v="5"/>
  </r>
  <r>
    <s v="São Paulo"/>
    <s v="Serviços (Total)"/>
    <n v="83.48"/>
    <n v="84.886889999999994"/>
    <d v="2016-06-01T00:00:00"/>
    <x v="5"/>
    <x v="5"/>
  </r>
  <r>
    <s v="São Paulo"/>
    <s v="Serviços (Total)"/>
    <n v="85.27"/>
    <n v="84.246610000000004"/>
    <d v="2016-07-01T00:00:00"/>
    <x v="6"/>
    <x v="5"/>
  </r>
  <r>
    <s v="São Paulo"/>
    <s v="Serviços (Total)"/>
    <n v="83.92"/>
    <n v="85.326409999999996"/>
    <d v="2016-08-01T00:00:00"/>
    <x v="7"/>
    <x v="5"/>
  </r>
  <r>
    <s v="São Paulo"/>
    <s v="Serviços (Total)"/>
    <n v="84.34"/>
    <n v="86.069230000000005"/>
    <d v="2016-09-01T00:00:00"/>
    <x v="8"/>
    <x v="5"/>
  </r>
  <r>
    <s v="São Paulo"/>
    <s v="Serviços (Total)"/>
    <n v="83.13"/>
    <n v="84.263149999999996"/>
    <d v="2016-10-01T00:00:00"/>
    <x v="9"/>
    <x v="5"/>
  </r>
  <r>
    <s v="São Paulo"/>
    <s v="Serviços (Total)"/>
    <n v="82.23"/>
    <n v="84.931359999999998"/>
    <d v="2016-11-01T00:00:00"/>
    <x v="10"/>
    <x v="5"/>
  </r>
  <r>
    <s v="São Paulo"/>
    <s v="Serviços (Total)"/>
    <n v="82.46"/>
    <n v="91.383390000000006"/>
    <d v="2016-12-01T00:00:00"/>
    <x v="11"/>
    <x v="5"/>
  </r>
  <r>
    <s v="São Paulo"/>
    <s v="Serviços (Total)"/>
    <n v="83.32"/>
    <n v="79.35566"/>
    <d v="2017-01-01T00:00:00"/>
    <x v="0"/>
    <x v="6"/>
  </r>
  <r>
    <s v="São Paulo"/>
    <s v="Serviços (Total)"/>
    <n v="84.31"/>
    <n v="75.919539999999998"/>
    <d v="2017-02-01T00:00:00"/>
    <x v="1"/>
    <x v="6"/>
  </r>
  <r>
    <s v="São Paulo"/>
    <s v="Serviços (Total)"/>
    <n v="81.45"/>
    <n v="82.267920000000004"/>
    <d v="2017-03-01T00:00:00"/>
    <x v="2"/>
    <x v="6"/>
  </r>
  <r>
    <s v="São Paulo"/>
    <s v="Serviços (Total)"/>
    <n v="83.68"/>
    <n v="79.391509999999997"/>
    <d v="2017-04-01T00:00:00"/>
    <x v="3"/>
    <x v="6"/>
  </r>
  <r>
    <s v="São Paulo"/>
    <s v="Serviços (Total)"/>
    <n v="83.54"/>
    <n v="83.713740000000001"/>
    <d v="2017-05-01T00:00:00"/>
    <x v="4"/>
    <x v="6"/>
  </r>
  <r>
    <s v="São Paulo"/>
    <s v="Serviços (Total)"/>
    <n v="85.21"/>
    <n v="85.548609999999996"/>
    <d v="2017-06-01T00:00:00"/>
    <x v="5"/>
    <x v="6"/>
  </r>
  <r>
    <s v="São Paulo"/>
    <s v="Serviços (Total)"/>
    <n v="85.67"/>
    <n v="84.133290000000002"/>
    <d v="2017-07-01T00:00:00"/>
    <x v="6"/>
    <x v="6"/>
  </r>
  <r>
    <s v="São Paulo"/>
    <s v="Serviços (Total)"/>
    <n v="84.17"/>
    <n v="85.763649999999998"/>
    <d v="2017-08-01T00:00:00"/>
    <x v="7"/>
    <x v="6"/>
  </r>
  <r>
    <s v="São Paulo"/>
    <s v="Serviços (Total)"/>
    <n v="83.01"/>
    <n v="84.077839999999995"/>
    <d v="2017-09-01T00:00:00"/>
    <x v="8"/>
    <x v="6"/>
  </r>
  <r>
    <s v="São Paulo"/>
    <s v="Serviços (Total)"/>
    <n v="83.06"/>
    <n v="85.088509999999999"/>
    <d v="2017-10-01T00:00:00"/>
    <x v="9"/>
    <x v="6"/>
  </r>
  <r>
    <s v="São Paulo"/>
    <s v="Serviços (Total)"/>
    <n v="83.18"/>
    <n v="85.698700000000002"/>
    <d v="2017-11-01T00:00:00"/>
    <x v="10"/>
    <x v="6"/>
  </r>
  <r>
    <s v="São Paulo"/>
    <s v="Serviços (Total)"/>
    <n v="84.37"/>
    <n v="93.091949999999997"/>
    <d v="2017-12-01T00:00:00"/>
    <x v="11"/>
    <x v="6"/>
  </r>
  <r>
    <s v="São Paulo"/>
    <s v="Serviços (Total)"/>
    <n v="83.26"/>
    <n v="79.841620000000006"/>
    <d v="2018-01-01T00:00:00"/>
    <x v="0"/>
    <x v="7"/>
  </r>
  <r>
    <s v="São Paulo"/>
    <s v="Serviços (Total)"/>
    <n v="83.57"/>
    <n v="75.20975"/>
    <d v="2018-02-01T00:00:00"/>
    <x v="1"/>
    <x v="7"/>
  </r>
  <r>
    <s v="São Paulo"/>
    <s v="Serviços (Total)"/>
    <n v="84.46"/>
    <n v="83.448049999999995"/>
    <d v="2018-03-01T00:00:00"/>
    <x v="2"/>
    <x v="7"/>
  </r>
  <r>
    <s v="São Paulo"/>
    <s v="Serviços (Total)"/>
    <n v="85.15"/>
    <n v="82.096190000000007"/>
    <d v="2018-04-01T00:00:00"/>
    <x v="3"/>
    <x v="7"/>
  </r>
  <r>
    <s v="São Paulo"/>
    <s v="Serviços (Total)"/>
    <n v="81.84"/>
    <n v="82.117360000000005"/>
    <d v="2018-05-01T00:00:00"/>
    <x v="4"/>
    <x v="7"/>
  </r>
  <r>
    <s v="São Paulo"/>
    <s v="Serviços (Total)"/>
    <n v="87.36"/>
    <n v="87.174819999999997"/>
    <d v="2018-06-01T00:00:00"/>
    <x v="5"/>
    <x v="7"/>
  </r>
  <r>
    <s v="São Paulo"/>
    <s v="Serviços (Total)"/>
    <n v="85.82"/>
    <n v="85.311059999999998"/>
    <d v="2018-07-01T00:00:00"/>
    <x v="6"/>
    <x v="7"/>
  </r>
  <r>
    <s v="São Paulo"/>
    <s v="Serviços (Total)"/>
    <n v="86.7"/>
    <n v="88.508920000000003"/>
    <d v="2018-08-01T00:00:00"/>
    <x v="7"/>
    <x v="7"/>
  </r>
  <r>
    <s v="São Paulo"/>
    <s v="Serviços (Total)"/>
    <n v="87.03"/>
    <n v="87.130179999999996"/>
    <d v="2018-09-01T00:00:00"/>
    <x v="8"/>
    <x v="7"/>
  </r>
  <r>
    <s v="São Paulo"/>
    <s v="Serviços (Total)"/>
    <n v="86.17"/>
    <n v="88.820430000000002"/>
    <d v="2018-10-01T00:00:00"/>
    <x v="9"/>
    <x v="7"/>
  </r>
  <r>
    <s v="São Paulo"/>
    <s v="Serviços (Total)"/>
    <n v="86.95"/>
    <n v="89.925269999999998"/>
    <d v="2018-11-01T00:00:00"/>
    <x v="10"/>
    <x v="7"/>
  </r>
  <r>
    <s v="São Paulo"/>
    <s v="Serviços (Total)"/>
    <n v="87.66"/>
    <n v="96.220100000000002"/>
    <d v="2018-12-01T00:00:00"/>
    <x v="11"/>
    <x v="7"/>
  </r>
  <r>
    <s v="São Paulo"/>
    <s v="Serviços (Total)"/>
    <n v="86.82"/>
    <n v="83.471100000000007"/>
    <d v="2019-01-01T00:00:00"/>
    <x v="0"/>
    <x v="8"/>
  </r>
  <r>
    <s v="São Paulo"/>
    <s v="Serviços (Total)"/>
    <n v="87.83"/>
    <n v="81.373580000000004"/>
    <d v="2019-02-01T00:00:00"/>
    <x v="1"/>
    <x v="8"/>
  </r>
  <r>
    <s v="São Paulo"/>
    <s v="Serviços (Total)"/>
    <n v="87.52"/>
    <n v="84.604929999999996"/>
    <d v="2019-03-01T00:00:00"/>
    <x v="2"/>
    <x v="8"/>
  </r>
  <r>
    <s v="São Paulo"/>
    <s v="Serviços (Total)"/>
    <n v="87.59"/>
    <n v="83.978350000000006"/>
    <d v="2019-04-01T00:00:00"/>
    <x v="3"/>
    <x v="8"/>
  </r>
  <r>
    <s v="São Paulo"/>
    <s v="Serviços (Total)"/>
    <n v="88.72"/>
    <n v="88.950339999999997"/>
    <d v="2019-05-01T00:00:00"/>
    <x v="4"/>
    <x v="8"/>
  </r>
  <r>
    <s v="São Paulo"/>
    <s v="Serviços (Total)"/>
    <n v="86.97"/>
    <n v="85.978819999999999"/>
    <d v="2019-06-01T00:00:00"/>
    <x v="5"/>
    <x v="8"/>
  </r>
  <r>
    <s v="São Paulo"/>
    <s v="Serviços (Total)"/>
    <n v="88.02"/>
    <n v="88.264930000000007"/>
    <d v="2019-07-01T00:00:00"/>
    <x v="6"/>
    <x v="8"/>
  </r>
  <r>
    <s v="São Paulo"/>
    <s v="Serviços (Total)"/>
    <n v="87.37"/>
    <n v="88.490539999999996"/>
    <d v="2019-08-01T00:00:00"/>
    <x v="7"/>
    <x v="8"/>
  </r>
  <r>
    <s v="São Paulo"/>
    <s v="Serviços (Total)"/>
    <n v="89.81"/>
    <n v="90.254490000000004"/>
    <d v="2019-09-01T00:00:00"/>
    <x v="8"/>
    <x v="8"/>
  </r>
  <r>
    <s v="São Paulo"/>
    <s v="Serviços (Total)"/>
    <n v="89.51"/>
    <n v="92.383319999999998"/>
    <d v="2019-10-01T00:00:00"/>
    <x v="9"/>
    <x v="8"/>
  </r>
  <r>
    <s v="São Paulo"/>
    <s v="Serviços (Total)"/>
    <n v="89.19"/>
    <n v="91.607699999999994"/>
    <d v="2019-11-01T00:00:00"/>
    <x v="10"/>
    <x v="8"/>
  </r>
  <r>
    <s v="São Paulo"/>
    <s v="Serviços (Total)"/>
    <n v="89.74"/>
    <n v="99.721400000000003"/>
    <d v="2019-12-01T00:00:00"/>
    <x v="11"/>
    <x v="8"/>
  </r>
  <r>
    <s v="São Paulo"/>
    <s v="Serviços (Total)"/>
    <n v="89.61"/>
    <n v="86.204530000000005"/>
    <d v="2020-01-01T00:00:00"/>
    <x v="0"/>
    <x v="9"/>
  </r>
  <r>
    <s v="São Paulo"/>
    <s v="Serviços (Total)"/>
    <n v="88.61"/>
    <n v="82.024029999999996"/>
    <d v="2020-02-01T00:00:00"/>
    <x v="1"/>
    <x v="9"/>
  </r>
  <r>
    <s v="São Paulo"/>
    <s v="Serviços (Total)"/>
    <n v="82.98"/>
    <n v="82.970359999999999"/>
    <d v="2020-03-01T00:00:00"/>
    <x v="2"/>
    <x v="9"/>
  </r>
  <r>
    <s v="São Paulo"/>
    <s v="Serviços (Total)"/>
    <n v="73.53"/>
    <n v="70.436139999999995"/>
    <d v="2020-04-01T00:00:00"/>
    <x v="3"/>
    <x v="9"/>
  </r>
  <r>
    <s v="São Paulo"/>
    <s v="Serviços (Total)"/>
    <n v="72.02"/>
    <n v="71.076599999999999"/>
    <d v="2020-05-01T00:00:00"/>
    <x v="4"/>
    <x v="9"/>
  </r>
  <r>
    <s v="São Paulo"/>
    <s v="Serviços (Total)"/>
    <n v="76.2"/>
    <n v="76.446950000000001"/>
    <d v="2020-06-01T00:00:00"/>
    <x v="5"/>
    <x v="9"/>
  </r>
  <r>
    <s v="São Paulo"/>
    <s v="Serviços (Total)"/>
    <n v="78.14"/>
    <n v="78.72475"/>
    <d v="2020-07-01T00:00:00"/>
    <x v="6"/>
    <x v="9"/>
  </r>
  <r>
    <s v="São Paulo"/>
    <s v="Serviços (Total)"/>
    <n v="79.84"/>
    <n v="79.874709999999993"/>
    <d v="2020-08-01T00:00:00"/>
    <x v="7"/>
    <x v="9"/>
  </r>
  <r>
    <s v="São Paulo"/>
    <s v="Serviços (Total)"/>
    <n v="82.49"/>
    <n v="83.818449999999999"/>
    <d v="2020-09-01T00:00:00"/>
    <x v="8"/>
    <x v="9"/>
  </r>
  <r>
    <s v="São Paulo"/>
    <s v="Serviços (Total)"/>
    <n v="83.49"/>
    <n v="85.429000000000002"/>
    <d v="2020-10-01T00:00:00"/>
    <x v="9"/>
    <x v="9"/>
  </r>
  <r>
    <s v="São Paulo"/>
    <s v="Serviços (Total)"/>
    <n v="85.55"/>
    <n v="87.512230000000002"/>
    <d v="2020-11-01T00:00:00"/>
    <x v="10"/>
    <x v="9"/>
  </r>
  <r>
    <s v="São Paulo"/>
    <s v="Serviços (Total)"/>
    <n v="85.65"/>
    <n v="96.230909999999994"/>
    <d v="2020-12-01T00:00:00"/>
    <x v="11"/>
    <x v="9"/>
  </r>
  <r>
    <s v="São Paulo"/>
    <s v="Serviços (Total)"/>
    <n v="86.37"/>
    <n v="81.950059999999993"/>
    <d v="2021-01-01T00:00:00"/>
    <x v="0"/>
    <x v="10"/>
  </r>
  <r>
    <s v="São Paulo"/>
    <s v="Serviços (Total)"/>
    <n v="90.51"/>
    <n v="81.415049999999994"/>
    <d v="2021-02-01T00:00:00"/>
    <x v="1"/>
    <x v="10"/>
  </r>
  <r>
    <s v="São Paulo"/>
    <s v="Serviços (Total)"/>
    <n v="86.23"/>
    <n v="86.829819999999998"/>
    <d v="2021-03-01T00:00:00"/>
    <x v="2"/>
    <x v="10"/>
  </r>
  <r>
    <s v="São Paulo"/>
    <s v="Serviços (Total)"/>
    <n v="88.56"/>
    <n v="85.031899999999993"/>
    <d v="2021-04-01T00:00:00"/>
    <x v="3"/>
    <x v="10"/>
  </r>
  <r>
    <s v="São Paulo"/>
    <s v="Serviços (Total)"/>
    <n v="90.52"/>
    <n v="88.611320000000006"/>
    <d v="2021-05-01T00:00:00"/>
    <x v="4"/>
    <x v="10"/>
  </r>
  <r>
    <s v="São Paulo"/>
    <s v="Serviços (Total)"/>
    <n v="91.24"/>
    <n v="91.852090000000004"/>
    <d v="2021-06-01T00:00:00"/>
    <x v="5"/>
    <x v="10"/>
  </r>
  <r>
    <s v="São Paulo"/>
    <s v="Serviços (Total)"/>
    <n v="92.22"/>
    <n v="92.205560000000006"/>
    <d v="2021-07-01T00:00:00"/>
    <x v="6"/>
    <x v="10"/>
  </r>
  <r>
    <s v="São Paulo"/>
    <s v="Serviços (Total)"/>
    <n v="93.06"/>
    <n v="94.031210000000002"/>
    <d v="2021-08-01T00:00:00"/>
    <x v="7"/>
    <x v="10"/>
  </r>
  <r>
    <s v="São Paulo"/>
    <s v="Serviços (Total)"/>
    <n v="91.48"/>
    <n v="92.560550000000006"/>
    <d v="2021-09-01T00:00:00"/>
    <x v="8"/>
    <x v="10"/>
  </r>
  <r>
    <s v="São Paulo"/>
    <s v="Serviços (Total)"/>
    <n v="90.67"/>
    <n v="92.243930000000006"/>
    <d v="2021-10-01T00:00:00"/>
    <x v="9"/>
    <x v="10"/>
  </r>
  <r>
    <s v="São Paulo"/>
    <s v="Serviços (Total)"/>
    <n v="94.77"/>
    <n v="97.936199999999999"/>
    <d v="2021-11-01T00:00:00"/>
    <x v="10"/>
    <x v="10"/>
  </r>
  <r>
    <s v="São Paulo"/>
    <s v="Serviços (Total)"/>
    <n v="97.33"/>
    <n v="109.55959"/>
    <d v="2021-12-01T00:00:00"/>
    <x v="11"/>
    <x v="10"/>
  </r>
  <r>
    <s v="São Paulo"/>
    <s v="Serviços (Total)"/>
    <n v="97.44"/>
    <n v="91.866860000000003"/>
    <d v="2022-01-01T00:00:00"/>
    <x v="0"/>
    <x v="11"/>
  </r>
  <r>
    <s v="São Paulo"/>
    <s v="Serviços (Total)"/>
    <n v="98.08"/>
    <n v="88.293620000000004"/>
    <d v="2022-02-01T00:00:00"/>
    <x v="1"/>
    <x v="11"/>
  </r>
  <r>
    <s v="São Paulo"/>
    <s v="Serviços (Total)"/>
    <n v="97.41"/>
    <n v="98.323830000000001"/>
    <d v="2022-03-01T00:00:00"/>
    <x v="2"/>
    <x v="11"/>
  </r>
  <r>
    <s v="São Paulo"/>
    <s v="Serviços (Total)"/>
    <n v="98.18"/>
    <n v="93.525689999999997"/>
    <d v="2022-04-01T00:00:00"/>
    <x v="3"/>
    <x v="11"/>
  </r>
  <r>
    <s v="São Paulo"/>
    <s v="Serviços (Total)"/>
    <n v="99.22"/>
    <n v="98.064509999999999"/>
    <d v="2022-05-01T00:00:00"/>
    <x v="4"/>
    <x v="11"/>
  </r>
  <r>
    <s v="São Paulo"/>
    <s v="Serviços (Total)"/>
    <n v="99.17"/>
    <n v="99.380170000000007"/>
    <d v="2022-06-01T00:00:00"/>
    <x v="5"/>
    <x v="11"/>
  </r>
  <r>
    <s v="São Paulo"/>
    <s v="Serviços (Total)"/>
    <n v="100.31"/>
    <n v="99.807640000000006"/>
    <d v="2022-07-01T00:00:00"/>
    <x v="6"/>
    <x v="11"/>
  </r>
  <r>
    <s v="São Paulo"/>
    <s v="Serviços (Total)"/>
    <n v="102.48"/>
    <n v="104.23665"/>
    <d v="2022-08-01T00:00:00"/>
    <x v="7"/>
    <x v="11"/>
  </r>
  <r>
    <s v="São Paulo"/>
    <s v="Serviços (Total)"/>
    <n v="101.97"/>
    <n v="103.37774"/>
    <d v="2022-09-01T00:00:00"/>
    <x v="8"/>
    <x v="11"/>
  </r>
  <r>
    <s v="São Paulo"/>
    <s v="Serviços (Total)"/>
    <n v="102.97"/>
    <n v="104.09349"/>
    <d v="2022-10-01T00:00:00"/>
    <x v="9"/>
    <x v="11"/>
  </r>
  <r>
    <s v="São Paulo"/>
    <s v="Serviços (Total)"/>
    <n v="101.54"/>
    <n v="105.43322000000001"/>
    <d v="2022-11-01T00:00:00"/>
    <x v="10"/>
    <x v="11"/>
  </r>
  <r>
    <s v="São Paulo"/>
    <s v="Serviços (Total)"/>
    <n v="101.74"/>
    <n v="113.59657"/>
    <d v="2022-12-01T00:00:00"/>
    <x v="11"/>
    <x v="11"/>
  </r>
  <r>
    <s v="São Paulo"/>
    <s v="Serviços (Total)"/>
    <n v="98.99"/>
    <n v="94.398020000000002"/>
    <d v="2023-01-01T00:00:00"/>
    <x v="0"/>
    <x v="12"/>
  </r>
  <r>
    <s v="São Paulo"/>
    <s v="Serviços (Total)"/>
    <n v="99.93"/>
    <n v="89.988129999999998"/>
    <d v="2023-02-01T00:00:00"/>
    <x v="1"/>
    <x v="12"/>
  </r>
  <r>
    <s v="São Paulo"/>
    <s v="Serviços (Total)"/>
    <n v="100.98"/>
    <n v="102.06917"/>
    <d v="2023-03-01T00:00:00"/>
    <x v="2"/>
    <x v="12"/>
  </r>
  <r>
    <s v="São Paulo"/>
    <s v="Serviços (Total)"/>
    <n v="99.23"/>
    <n v="93.549530000000004"/>
    <d v="2023-04-01T00:00:00"/>
    <x v="3"/>
    <x v="12"/>
  </r>
  <r>
    <s v="São Paulo"/>
    <s v="Serviços (Total)"/>
    <n v="98.64"/>
    <n v="98.043049999999994"/>
    <d v="2023-05-01T00:00:00"/>
    <x v="4"/>
    <x v="12"/>
  </r>
  <r>
    <s v="São Paulo"/>
    <s v="Serviços (Total)"/>
    <n v="98.54"/>
    <n v="98.944770000000005"/>
    <d v="2023-06-01T00:00:00"/>
    <x v="5"/>
    <x v="12"/>
  </r>
  <r>
    <s v="São Paulo"/>
    <s v="Serviços (Total)"/>
    <n v="99.21"/>
    <n v="98.141469999999998"/>
    <d v="2023-07-01T00:00:00"/>
    <x v="6"/>
    <x v="12"/>
  </r>
  <r>
    <s v="São Paulo"/>
    <s v="Serviços (Total)"/>
    <n v="99.2"/>
    <n v="101.15075"/>
    <d v="2023-08-01T00:00:00"/>
    <x v="7"/>
    <x v="12"/>
  </r>
  <r>
    <s v="São Paulo"/>
    <s v="Serviços (Total)"/>
    <n v="98.06"/>
    <n v="98.59581"/>
    <d v="2023-09-01T00:00:00"/>
    <x v="8"/>
    <x v="12"/>
  </r>
  <r>
    <s v="São Paulo"/>
    <s v="Serviços (Total)"/>
    <n v="98.47"/>
    <n v="100.62967999999999"/>
    <d v="2023-10-01T00:00:00"/>
    <x v="9"/>
    <x v="12"/>
  </r>
  <r>
    <s v="São Paulo"/>
    <s v="Serviços (Total)"/>
    <n v="100.73"/>
    <n v="104.31301999999999"/>
    <d v="2023-11-01T00:00:00"/>
    <x v="10"/>
    <x v="12"/>
  </r>
  <r>
    <s v="São Paulo"/>
    <s v="Serviços (Total)"/>
    <n v="100.71"/>
    <n v="111.80716"/>
    <d v="2023-12-01T00:00:00"/>
    <x v="11"/>
    <x v="12"/>
  </r>
  <r>
    <s v="São Paulo"/>
    <s v="Serviços (Total)"/>
    <n v="102.97"/>
    <n v="98.955860000000001"/>
    <d v="2024-01-01T00:00:00"/>
    <x v="0"/>
    <x v="13"/>
  </r>
  <r>
    <s v="São Paulo"/>
    <s v="Serviços (Total)"/>
    <n v="99.53"/>
    <n v="92.973479999999995"/>
    <d v="2024-02-01T00:00:00"/>
    <x v="1"/>
    <x v="13"/>
  </r>
  <r>
    <s v="São Paulo"/>
    <s v="Serviços (Total)"/>
    <n v="103.1"/>
    <n v="101.46176"/>
    <d v="2024-03-01T00:00:00"/>
    <x v="2"/>
    <x v="13"/>
  </r>
  <r>
    <s v="São Paulo"/>
    <s v="Serviços (Total)"/>
    <n v="103.6"/>
    <n v="100.33358"/>
    <d v="2024-04-01T00:00:00"/>
    <x v="3"/>
    <x v="13"/>
  </r>
  <r>
    <s v="São Paulo"/>
    <s v="Serviços (Total)"/>
    <n v="101.79"/>
    <n v="100.75049"/>
    <d v="2024-05-01T00:00:00"/>
    <x v="4"/>
    <x v="13"/>
  </r>
  <r>
    <s v="São Paulo"/>
    <s v="Serviços (Total)"/>
    <n v="103.99"/>
    <n v="103.16072"/>
    <d v="2024-06-01T00:00:00"/>
    <x v="5"/>
    <x v="13"/>
  </r>
  <r>
    <s v="São Paulo"/>
    <s v="Serviços (Total)"/>
    <n v="103.85"/>
    <n v="104.67048"/>
    <d v="2024-07-01T00:00:00"/>
    <x v="6"/>
    <x v="13"/>
  </r>
  <r>
    <s v="São Paulo"/>
    <s v="Serviços (Total)"/>
    <n v="104.02"/>
    <n v="105.33899"/>
    <d v="2024-08-01T00:00:00"/>
    <x v="7"/>
    <x v="13"/>
  </r>
  <r>
    <s v="São Paulo"/>
    <s v="Serviços (Total)"/>
    <n v="105.02"/>
    <n v="104.89839000000001"/>
    <d v="2024-09-01T00:00:00"/>
    <x v="8"/>
    <x v="13"/>
  </r>
  <r>
    <s v="São Paulo"/>
    <s v="Serviços (Total)"/>
    <n v="105.6"/>
    <n v="108.92171"/>
    <d v="2024-10-01T00:00:00"/>
    <x v="9"/>
    <x v="13"/>
  </r>
  <r>
    <s v="São Paulo"/>
    <s v="Serviços (Total)"/>
    <n v="104.94"/>
    <n v="108.23779"/>
    <d v="2024-11-01T00:00:00"/>
    <x v="10"/>
    <x v="13"/>
  </r>
  <r>
    <s v="São Paulo"/>
    <s v="Serviços (Total)"/>
    <n v="103.48"/>
    <n v="115.3305"/>
    <d v="2024-12-01T00:00:00"/>
    <x v="11"/>
    <x v="13"/>
  </r>
  <r>
    <s v="São Paulo"/>
    <s v="Serviços (Total)"/>
    <n v="105.8"/>
    <n v="102.03033000000001"/>
    <d v="2025-01-01T00:00:00"/>
    <x v="0"/>
    <x v="14"/>
  </r>
  <r>
    <s v="São Paulo"/>
    <s v="Serviços (Total)"/>
    <n v="106.66"/>
    <n v="98.340590000000006"/>
    <d v="2025-02-01T00:00:00"/>
    <x v="1"/>
    <x v="14"/>
  </r>
  <r>
    <s v="São Paulo"/>
    <s v="Serviços (Total)"/>
    <n v="106.97"/>
    <n v="103.71921"/>
    <d v="2025-03-01T00:00:00"/>
    <x v="2"/>
    <x v="14"/>
  </r>
  <r>
    <s v="São Paulo"/>
    <s v="Serviços (Total)"/>
    <n v="107.55"/>
    <n v="103.17384"/>
    <d v="2025-04-01T00:00:00"/>
    <x v="3"/>
    <x v="14"/>
  </r>
  <r>
    <s v="São Paulo"/>
    <s v="Serviços (Total)"/>
    <n v="108.4"/>
    <n v="106.84707"/>
    <d v="2025-05-01T00:00:00"/>
    <x v="4"/>
    <x v="14"/>
  </r>
  <r>
    <s v="São Paulo"/>
    <s v="Serviços (Total)"/>
    <n v="108.62"/>
    <n v="107.59963999999999"/>
    <d v="2025-06-01T00:00:00"/>
    <x v="5"/>
    <x v="14"/>
  </r>
  <r>
    <s v="São Paulo"/>
    <s v="Serviços (Total)"/>
    <n v="109.96"/>
    <n v="111.14796"/>
    <d v="2025-07-01T00:00:00"/>
    <x v="6"/>
    <x v="14"/>
  </r>
  <r>
    <s v="São Paulo"/>
    <s v="Serviços (Total)"/>
    <n v="108.74"/>
    <n v="109.56113000000001"/>
    <d v="2025-08-01T00:00:00"/>
    <x v="7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3:B19" firstHeaderRow="1" firstDataRow="1" firstDataCol="1"/>
  <pivotFields count="7">
    <pivotField showAll="0"/>
    <pivotField showAll="0"/>
    <pivotField showAll="0"/>
    <pivotField dataField="1" showAll="0"/>
    <pivotField numFmtId="14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édia de indice_atividade_servicos_sem_ajuste" fld="3" subtotal="average" baseField="6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3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7">
    <pivotField showAll="0"/>
    <pivotField showAll="0"/>
    <pivotField showAll="0"/>
    <pivotField dataField="1"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édia de indice_atividade_servicos_sem_ajuste" fld="3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G2113" totalsRowShown="0">
  <autoFilter ref="A1:G2113"/>
  <tableColumns count="7">
    <tableColumn id="1" name="UF"/>
    <tableColumn id="2" name="Segmentação"/>
    <tableColumn id="3" name="indice_atividade_servicos_com_ajuste_sazonal"/>
    <tableColumn id="4" name="indice_atividade_servicos_sem_ajuste"/>
    <tableColumn id="5" name="date" dataDxfId="2"/>
    <tableColumn id="6" name="mês" dataDxfId="1">
      <calculatedColumnFormula>MONTH(E2)</calculatedColumnFormula>
    </tableColumn>
    <tableColumn id="7" name="ANO" dataDxfId="0">
      <calculatedColumnFormula>YEAR(E2)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tabSelected="1" workbookViewId="0">
      <selection activeCell="C15" sqref="C15"/>
    </sheetView>
  </sheetViews>
  <sheetFormatPr defaultRowHeight="15" x14ac:dyDescent="0.25"/>
  <cols>
    <col min="1" max="1" width="18" bestFit="1" customWidth="1"/>
    <col min="2" max="2" width="45" bestFit="1" customWidth="1"/>
  </cols>
  <sheetData>
    <row r="3" spans="1:2" x14ac:dyDescent="0.25">
      <c r="A3" s="2" t="s">
        <v>15</v>
      </c>
      <c r="B3" t="s">
        <v>17</v>
      </c>
    </row>
    <row r="4" spans="1:2" x14ac:dyDescent="0.25">
      <c r="A4" s="3">
        <v>2011</v>
      </c>
      <c r="B4" s="4">
        <v>94.38347326388886</v>
      </c>
    </row>
    <row r="5" spans="1:2" x14ac:dyDescent="0.25">
      <c r="A5" s="3">
        <v>2012</v>
      </c>
      <c r="B5" s="4">
        <v>97.017405138888876</v>
      </c>
    </row>
    <row r="6" spans="1:2" x14ac:dyDescent="0.25">
      <c r="A6" s="3">
        <v>2013</v>
      </c>
      <c r="B6" s="4">
        <v>99.428357222222246</v>
      </c>
    </row>
    <row r="7" spans="1:2" x14ac:dyDescent="0.25">
      <c r="A7" s="3">
        <v>2014</v>
      </c>
      <c r="B7" s="4">
        <v>100.24233756944443</v>
      </c>
    </row>
    <row r="8" spans="1:2" x14ac:dyDescent="0.25">
      <c r="A8" s="3">
        <v>2015</v>
      </c>
      <c r="B8" s="4">
        <v>95.740605347222228</v>
      </c>
    </row>
    <row r="9" spans="1:2" x14ac:dyDescent="0.25">
      <c r="A9" s="3">
        <v>2016</v>
      </c>
      <c r="B9" s="4">
        <v>92.195494513888931</v>
      </c>
    </row>
    <row r="10" spans="1:2" x14ac:dyDescent="0.25">
      <c r="A10" s="3">
        <v>2017</v>
      </c>
      <c r="B10" s="4">
        <v>89.093476736111114</v>
      </c>
    </row>
    <row r="11" spans="1:2" x14ac:dyDescent="0.25">
      <c r="A11" s="3">
        <v>2018</v>
      </c>
      <c r="B11" s="4">
        <v>90.08684520833333</v>
      </c>
    </row>
    <row r="12" spans="1:2" x14ac:dyDescent="0.25">
      <c r="A12" s="3">
        <v>2019</v>
      </c>
      <c r="B12" s="4">
        <v>92.472847430555561</v>
      </c>
    </row>
    <row r="13" spans="1:2" x14ac:dyDescent="0.25">
      <c r="A13" s="3">
        <v>2020</v>
      </c>
      <c r="B13" s="4">
        <v>82.663435138888886</v>
      </c>
    </row>
    <row r="14" spans="1:2" x14ac:dyDescent="0.25">
      <c r="A14" s="3">
        <v>2021</v>
      </c>
      <c r="B14" s="4">
        <v>91.199899583333405</v>
      </c>
    </row>
    <row r="15" spans="1:2" x14ac:dyDescent="0.25">
      <c r="A15" s="3">
        <v>2022</v>
      </c>
      <c r="B15" s="4">
        <v>99.999999999999972</v>
      </c>
    </row>
    <row r="16" spans="1:2" x14ac:dyDescent="0.25">
      <c r="A16" s="3">
        <v>2023</v>
      </c>
      <c r="B16" s="4">
        <v>101.31912562500001</v>
      </c>
    </row>
    <row r="17" spans="1:2" x14ac:dyDescent="0.25">
      <c r="A17" s="3">
        <v>2024</v>
      </c>
      <c r="B17" s="4">
        <v>105.33419229166667</v>
      </c>
    </row>
    <row r="18" spans="1:2" x14ac:dyDescent="0.25">
      <c r="A18" s="3">
        <v>2025</v>
      </c>
      <c r="B18" s="4">
        <v>105.73218812500004</v>
      </c>
    </row>
    <row r="19" spans="1:2" x14ac:dyDescent="0.25">
      <c r="A19" s="3" t="s">
        <v>16</v>
      </c>
      <c r="B19" s="4">
        <v>95.568110487689353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K20" sqref="K20"/>
    </sheetView>
  </sheetViews>
  <sheetFormatPr defaultRowHeight="15" x14ac:dyDescent="0.25"/>
  <cols>
    <col min="1" max="1" width="18" bestFit="1" customWidth="1"/>
    <col min="2" max="2" width="45" bestFit="1" customWidth="1"/>
  </cols>
  <sheetData>
    <row r="3" spans="1:2" x14ac:dyDescent="0.25">
      <c r="A3" s="2" t="s">
        <v>15</v>
      </c>
      <c r="B3" t="s">
        <v>17</v>
      </c>
    </row>
    <row r="4" spans="1:2" x14ac:dyDescent="0.25">
      <c r="A4" s="3">
        <v>1</v>
      </c>
      <c r="B4" s="4">
        <v>93.433607444444448</v>
      </c>
    </row>
    <row r="5" spans="1:2" x14ac:dyDescent="0.25">
      <c r="A5" s="3">
        <v>2</v>
      </c>
      <c r="B5" s="4">
        <v>88.692832055555542</v>
      </c>
    </row>
    <row r="6" spans="1:2" x14ac:dyDescent="0.25">
      <c r="A6" s="3">
        <v>3</v>
      </c>
      <c r="B6" s="4">
        <v>94.942780722222238</v>
      </c>
    </row>
    <row r="7" spans="1:2" x14ac:dyDescent="0.25">
      <c r="A7" s="3">
        <v>4</v>
      </c>
      <c r="B7" s="4">
        <v>91.830278499999949</v>
      </c>
    </row>
    <row r="8" spans="1:2" x14ac:dyDescent="0.25">
      <c r="A8" s="3">
        <v>5</v>
      </c>
      <c r="B8" s="4">
        <v>93.908773444444506</v>
      </c>
    </row>
    <row r="9" spans="1:2" x14ac:dyDescent="0.25">
      <c r="A9" s="3">
        <v>6</v>
      </c>
      <c r="B9" s="4">
        <v>94.176756944444449</v>
      </c>
    </row>
    <row r="10" spans="1:2" x14ac:dyDescent="0.25">
      <c r="A10" s="3">
        <v>7</v>
      </c>
      <c r="B10" s="4">
        <v>96.176253611111093</v>
      </c>
    </row>
    <row r="11" spans="1:2" x14ac:dyDescent="0.25">
      <c r="A11" s="3">
        <v>8</v>
      </c>
      <c r="B11" s="4">
        <v>97.17433699999998</v>
      </c>
    </row>
    <row r="12" spans="1:2" x14ac:dyDescent="0.25">
      <c r="A12" s="3">
        <v>9</v>
      </c>
      <c r="B12" s="4">
        <v>95.636877023809532</v>
      </c>
    </row>
    <row r="13" spans="1:2" x14ac:dyDescent="0.25">
      <c r="A13" s="3">
        <v>10</v>
      </c>
      <c r="B13" s="4">
        <v>97.707426428571424</v>
      </c>
    </row>
    <row r="14" spans="1:2" x14ac:dyDescent="0.25">
      <c r="A14" s="3">
        <v>11</v>
      </c>
      <c r="B14" s="4">
        <v>97.804592440476213</v>
      </c>
    </row>
    <row r="15" spans="1:2" x14ac:dyDescent="0.25">
      <c r="A15" s="3">
        <v>12</v>
      </c>
      <c r="B15" s="4">
        <v>106.34775767857138</v>
      </c>
    </row>
    <row r="16" spans="1:2" x14ac:dyDescent="0.25">
      <c r="A16" s="3" t="s">
        <v>16</v>
      </c>
      <c r="B16" s="4">
        <v>95.568110487689466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L35" sqref="L35"/>
    </sheetView>
  </sheetViews>
  <sheetFormatPr defaultRowHeight="15" x14ac:dyDescent="0.25"/>
  <cols>
    <col min="2" max="2" width="31.8554687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>
        <v>1</v>
      </c>
      <c r="B2">
        <f t="array" ref="B2">MEDIAN(IF(Tabela1[mês]=A2,Tabela1[indice_atividade_servicos_com_ajuste_sazonal]))</f>
        <v>96.674999999999997</v>
      </c>
    </row>
    <row r="3" spans="1:2" x14ac:dyDescent="0.25">
      <c r="A3">
        <v>2</v>
      </c>
      <c r="B3">
        <f t="array" ref="B3">MEDIAN(IF(Tabela1[mês]=A3,Tabela1[indice_atividade_servicos_com_ajuste_sazonal]))</f>
        <v>97.305000000000007</v>
      </c>
    </row>
    <row r="4" spans="1:2" x14ac:dyDescent="0.25">
      <c r="A4">
        <v>3</v>
      </c>
      <c r="B4">
        <f t="array" ref="B4">MEDIAN(IF(Tabela1[mês]=A4,Tabela1[indice_atividade_servicos_com_ajuste_sazonal]))</f>
        <v>97.174999999999997</v>
      </c>
    </row>
    <row r="5" spans="1:2" x14ac:dyDescent="0.25">
      <c r="A5">
        <v>4</v>
      </c>
      <c r="B5">
        <f t="array" ref="B5">MEDIAN(IF(Tabela1[mês]=A5,Tabela1[indice_atividade_servicos_com_ajuste_sazonal]))</f>
        <v>96.97</v>
      </c>
    </row>
    <row r="6" spans="1:2" x14ac:dyDescent="0.25">
      <c r="A6">
        <v>5</v>
      </c>
      <c r="B6">
        <f t="array" ref="B6">MEDIAN(IF(Tabela1[mês]=A6,Tabela1[indice_atividade_servicos_com_ajuste_sazonal]))</f>
        <v>96.97</v>
      </c>
    </row>
    <row r="7" spans="1:2" x14ac:dyDescent="0.25">
      <c r="A7">
        <v>6</v>
      </c>
      <c r="B7">
        <f t="array" ref="B7">MEDIAN(IF(Tabela1[mês]=A7,Tabela1[indice_atividade_servicos_com_ajuste_sazonal]))</f>
        <v>97.015000000000001</v>
      </c>
    </row>
    <row r="8" spans="1:2" x14ac:dyDescent="0.25">
      <c r="A8">
        <v>7</v>
      </c>
      <c r="B8">
        <f t="array" ref="B8">MEDIAN(IF(Tabela1[mês]=A8,Tabela1[indice_atividade_servicos_com_ajuste_sazonal]))</f>
        <v>95.97999999999999</v>
      </c>
    </row>
    <row r="9" spans="1:2" x14ac:dyDescent="0.25">
      <c r="A9">
        <v>8</v>
      </c>
      <c r="B9">
        <f t="array" ref="B9">MEDIAN(IF(Tabela1[mês]=A9,Tabela1[indice_atividade_servicos_com_ajuste_sazonal]))</f>
        <v>97.7</v>
      </c>
    </row>
    <row r="10" spans="1:2" x14ac:dyDescent="0.25">
      <c r="A10">
        <v>9</v>
      </c>
      <c r="B10">
        <f t="array" ref="B10">MEDIAN(IF(Tabela1[mês]=A10,Tabela1[indice_atividade_servicos_com_ajuste_sazonal]))</f>
        <v>95.960000000000008</v>
      </c>
    </row>
    <row r="11" spans="1:2" x14ac:dyDescent="0.25">
      <c r="A11">
        <v>10</v>
      </c>
      <c r="B11">
        <f t="array" ref="B11">MEDIAN(IF(Tabela1[mês]=A11,Tabela1[indice_atividade_servicos_com_ajuste_sazonal]))</f>
        <v>95.84</v>
      </c>
    </row>
    <row r="12" spans="1:2" x14ac:dyDescent="0.25">
      <c r="A12">
        <v>11</v>
      </c>
      <c r="B12">
        <f t="array" ref="B12">MEDIAN(IF(Tabela1[mês]=A12,Tabela1[indice_atividade_servicos_com_ajuste_sazonal]))</f>
        <v>96.245000000000005</v>
      </c>
    </row>
    <row r="13" spans="1:2" x14ac:dyDescent="0.25">
      <c r="A13">
        <v>12</v>
      </c>
      <c r="B13">
        <f t="array" ref="B13">MEDIAN(IF(Tabela1[mês]=A13,Tabela1[indice_atividade_servicos_com_ajuste_sazonal]))</f>
        <v>96.539999999999992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3"/>
  <sheetViews>
    <sheetView workbookViewId="0">
      <selection activeCell="B6" sqref="B6"/>
    </sheetView>
  </sheetViews>
  <sheetFormatPr defaultRowHeight="15" x14ac:dyDescent="0.25"/>
  <cols>
    <col min="1" max="1" width="9.5703125" bestFit="1" customWidth="1"/>
    <col min="2" max="2" width="53.140625" bestFit="1" customWidth="1"/>
    <col min="3" max="3" width="44.7109375" customWidth="1"/>
    <col min="4" max="4" width="37.140625" customWidth="1"/>
    <col min="5" max="5" width="2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</row>
    <row r="2" spans="1:7" x14ac:dyDescent="0.25">
      <c r="A2" t="s">
        <v>5</v>
      </c>
      <c r="B2" t="s">
        <v>6</v>
      </c>
      <c r="C2">
        <v>88.97</v>
      </c>
      <c r="D2">
        <v>84.309899999999999</v>
      </c>
      <c r="E2" s="1">
        <v>40544</v>
      </c>
      <c r="F2">
        <f t="shared" ref="F2:F65" si="0">MONTH(E2)</f>
        <v>1</v>
      </c>
      <c r="G2">
        <f t="shared" ref="G2:G65" si="1">YEAR(E2)</f>
        <v>2011</v>
      </c>
    </row>
    <row r="3" spans="1:7" x14ac:dyDescent="0.25">
      <c r="A3" t="s">
        <v>5</v>
      </c>
      <c r="B3" t="s">
        <v>6</v>
      </c>
      <c r="C3">
        <v>88.76</v>
      </c>
      <c r="D3">
        <v>83.759780000000006</v>
      </c>
      <c r="E3" s="1">
        <v>40575</v>
      </c>
      <c r="F3">
        <f t="shared" si="0"/>
        <v>2</v>
      </c>
      <c r="G3">
        <f t="shared" si="1"/>
        <v>2011</v>
      </c>
    </row>
    <row r="4" spans="1:7" x14ac:dyDescent="0.25">
      <c r="A4" t="s">
        <v>5</v>
      </c>
      <c r="B4" t="s">
        <v>6</v>
      </c>
      <c r="C4">
        <v>89.21</v>
      </c>
      <c r="D4">
        <v>88.040970000000002</v>
      </c>
      <c r="E4" s="1">
        <v>40603</v>
      </c>
      <c r="F4">
        <f t="shared" si="0"/>
        <v>3</v>
      </c>
      <c r="G4">
        <f t="shared" si="1"/>
        <v>2011</v>
      </c>
    </row>
    <row r="5" spans="1:7" x14ac:dyDescent="0.25">
      <c r="A5" t="s">
        <v>5</v>
      </c>
      <c r="B5" t="s">
        <v>6</v>
      </c>
      <c r="C5">
        <v>89.72</v>
      </c>
      <c r="D5">
        <v>87.259249999999994</v>
      </c>
      <c r="E5" s="1">
        <v>40634</v>
      </c>
      <c r="F5">
        <f t="shared" si="0"/>
        <v>4</v>
      </c>
      <c r="G5">
        <f t="shared" si="1"/>
        <v>2011</v>
      </c>
    </row>
    <row r="6" spans="1:7" x14ac:dyDescent="0.25">
      <c r="A6" t="s">
        <v>5</v>
      </c>
      <c r="B6" t="s">
        <v>6</v>
      </c>
      <c r="C6">
        <v>90.4</v>
      </c>
      <c r="D6">
        <v>90.326490000000007</v>
      </c>
      <c r="E6" s="1">
        <v>40664</v>
      </c>
      <c r="F6">
        <f t="shared" si="0"/>
        <v>5</v>
      </c>
      <c r="G6">
        <f t="shared" si="1"/>
        <v>2011</v>
      </c>
    </row>
    <row r="7" spans="1:7" x14ac:dyDescent="0.25">
      <c r="A7" t="s">
        <v>5</v>
      </c>
      <c r="B7" t="s">
        <v>6</v>
      </c>
      <c r="C7">
        <v>90.42</v>
      </c>
      <c r="D7">
        <v>89.579030000000003</v>
      </c>
      <c r="E7" s="1">
        <v>40695</v>
      </c>
      <c r="F7">
        <f t="shared" si="0"/>
        <v>6</v>
      </c>
      <c r="G7">
        <f t="shared" si="1"/>
        <v>2011</v>
      </c>
    </row>
    <row r="8" spans="1:7" x14ac:dyDescent="0.25">
      <c r="A8" t="s">
        <v>5</v>
      </c>
      <c r="B8" t="s">
        <v>6</v>
      </c>
      <c r="C8">
        <v>91.42</v>
      </c>
      <c r="D8">
        <v>91.216149999999999</v>
      </c>
      <c r="E8" s="1">
        <v>40725</v>
      </c>
      <c r="F8">
        <f t="shared" si="0"/>
        <v>7</v>
      </c>
      <c r="G8">
        <f t="shared" si="1"/>
        <v>2011</v>
      </c>
    </row>
    <row r="9" spans="1:7" x14ac:dyDescent="0.25">
      <c r="A9" t="s">
        <v>5</v>
      </c>
      <c r="B9" t="s">
        <v>6</v>
      </c>
      <c r="C9">
        <v>91.4</v>
      </c>
      <c r="D9">
        <v>93.359560000000002</v>
      </c>
      <c r="E9" s="1">
        <v>40756</v>
      </c>
      <c r="F9">
        <f t="shared" si="0"/>
        <v>8</v>
      </c>
      <c r="G9">
        <f t="shared" si="1"/>
        <v>2011</v>
      </c>
    </row>
    <row r="10" spans="1:7" x14ac:dyDescent="0.25">
      <c r="A10" t="s">
        <v>5</v>
      </c>
      <c r="B10" t="s">
        <v>6</v>
      </c>
      <c r="C10">
        <v>91.07</v>
      </c>
      <c r="D10">
        <v>91.791359999999997</v>
      </c>
      <c r="E10" s="1">
        <v>40787</v>
      </c>
      <c r="F10">
        <f t="shared" si="0"/>
        <v>9</v>
      </c>
      <c r="G10">
        <f t="shared" si="1"/>
        <v>2011</v>
      </c>
    </row>
    <row r="11" spans="1:7" x14ac:dyDescent="0.25">
      <c r="A11" t="s">
        <v>5</v>
      </c>
      <c r="B11" t="s">
        <v>6</v>
      </c>
      <c r="C11">
        <v>89.96</v>
      </c>
      <c r="D11">
        <v>91.483080000000001</v>
      </c>
      <c r="E11" s="1">
        <v>40817</v>
      </c>
      <c r="F11">
        <f t="shared" si="0"/>
        <v>10</v>
      </c>
      <c r="G11">
        <f t="shared" si="1"/>
        <v>2011</v>
      </c>
    </row>
    <row r="12" spans="1:7" x14ac:dyDescent="0.25">
      <c r="A12" t="s">
        <v>5</v>
      </c>
      <c r="B12" t="s">
        <v>6</v>
      </c>
      <c r="C12">
        <v>91.49</v>
      </c>
      <c r="D12">
        <v>93.147970000000001</v>
      </c>
      <c r="E12" s="1">
        <v>40848</v>
      </c>
      <c r="F12">
        <f t="shared" si="0"/>
        <v>11</v>
      </c>
      <c r="G12">
        <f t="shared" si="1"/>
        <v>2011</v>
      </c>
    </row>
    <row r="13" spans="1:7" x14ac:dyDescent="0.25">
      <c r="A13" t="s">
        <v>5</v>
      </c>
      <c r="B13" t="s">
        <v>6</v>
      </c>
      <c r="C13">
        <v>92.4</v>
      </c>
      <c r="D13">
        <v>100.49500999999999</v>
      </c>
      <c r="E13" s="1">
        <v>40878</v>
      </c>
      <c r="F13">
        <f t="shared" si="0"/>
        <v>12</v>
      </c>
      <c r="G13">
        <f t="shared" si="1"/>
        <v>2011</v>
      </c>
    </row>
    <row r="14" spans="1:7" x14ac:dyDescent="0.25">
      <c r="A14" t="s">
        <v>5</v>
      </c>
      <c r="B14" t="s">
        <v>6</v>
      </c>
      <c r="C14">
        <v>92.24</v>
      </c>
      <c r="D14">
        <v>88.140699999999995</v>
      </c>
      <c r="E14" s="1">
        <v>40909</v>
      </c>
      <c r="F14">
        <f t="shared" si="0"/>
        <v>1</v>
      </c>
      <c r="G14">
        <f t="shared" si="1"/>
        <v>2012</v>
      </c>
    </row>
    <row r="15" spans="1:7" x14ac:dyDescent="0.25">
      <c r="A15" t="s">
        <v>5</v>
      </c>
      <c r="B15" t="s">
        <v>6</v>
      </c>
      <c r="C15">
        <v>93.35</v>
      </c>
      <c r="D15">
        <v>86.656270000000006</v>
      </c>
      <c r="E15" s="1">
        <v>40940</v>
      </c>
      <c r="F15">
        <f t="shared" si="0"/>
        <v>2</v>
      </c>
      <c r="G15">
        <f t="shared" si="1"/>
        <v>2012</v>
      </c>
    </row>
    <row r="16" spans="1:7" x14ac:dyDescent="0.25">
      <c r="A16" t="s">
        <v>5</v>
      </c>
      <c r="B16" t="s">
        <v>6</v>
      </c>
      <c r="C16">
        <v>93.17</v>
      </c>
      <c r="D16">
        <v>94.173479999999998</v>
      </c>
      <c r="E16" s="1">
        <v>40969</v>
      </c>
      <c r="F16">
        <f t="shared" si="0"/>
        <v>3</v>
      </c>
      <c r="G16">
        <f t="shared" si="1"/>
        <v>2012</v>
      </c>
    </row>
    <row r="17" spans="1:7" x14ac:dyDescent="0.25">
      <c r="A17" t="s">
        <v>5</v>
      </c>
      <c r="B17" t="s">
        <v>6</v>
      </c>
      <c r="C17">
        <v>92.96</v>
      </c>
      <c r="D17">
        <v>89.837360000000004</v>
      </c>
      <c r="E17" s="1">
        <v>41000</v>
      </c>
      <c r="F17">
        <f t="shared" si="0"/>
        <v>4</v>
      </c>
      <c r="G17">
        <f t="shared" si="1"/>
        <v>2012</v>
      </c>
    </row>
    <row r="18" spans="1:7" x14ac:dyDescent="0.25">
      <c r="A18" t="s">
        <v>5</v>
      </c>
      <c r="B18" t="s">
        <v>6</v>
      </c>
      <c r="C18">
        <v>93.77</v>
      </c>
      <c r="D18">
        <v>94.545569999999998</v>
      </c>
      <c r="E18" s="1">
        <v>41030</v>
      </c>
      <c r="F18">
        <f t="shared" si="0"/>
        <v>5</v>
      </c>
      <c r="G18">
        <f t="shared" si="1"/>
        <v>2012</v>
      </c>
    </row>
    <row r="19" spans="1:7" x14ac:dyDescent="0.25">
      <c r="A19" t="s">
        <v>5</v>
      </c>
      <c r="B19" t="s">
        <v>6</v>
      </c>
      <c r="C19">
        <v>94</v>
      </c>
      <c r="D19">
        <v>92.942890000000006</v>
      </c>
      <c r="E19" s="1">
        <v>41061</v>
      </c>
      <c r="F19">
        <f t="shared" si="0"/>
        <v>6</v>
      </c>
      <c r="G19">
        <f t="shared" si="1"/>
        <v>2012</v>
      </c>
    </row>
    <row r="20" spans="1:7" x14ac:dyDescent="0.25">
      <c r="A20" t="s">
        <v>5</v>
      </c>
      <c r="B20" t="s">
        <v>6</v>
      </c>
      <c r="C20">
        <v>94.19</v>
      </c>
      <c r="D20">
        <v>94.299779999999998</v>
      </c>
      <c r="E20" s="1">
        <v>41091</v>
      </c>
      <c r="F20">
        <f t="shared" si="0"/>
        <v>7</v>
      </c>
      <c r="G20">
        <f t="shared" si="1"/>
        <v>2012</v>
      </c>
    </row>
    <row r="21" spans="1:7" x14ac:dyDescent="0.25">
      <c r="A21" t="s">
        <v>5</v>
      </c>
      <c r="B21" t="s">
        <v>6</v>
      </c>
      <c r="C21">
        <v>95.33</v>
      </c>
      <c r="D21">
        <v>97.190650000000005</v>
      </c>
      <c r="E21" s="1">
        <v>41122</v>
      </c>
      <c r="F21">
        <f t="shared" si="0"/>
        <v>8</v>
      </c>
      <c r="G21">
        <f t="shared" si="1"/>
        <v>2012</v>
      </c>
    </row>
    <row r="22" spans="1:7" x14ac:dyDescent="0.25">
      <c r="A22" t="s">
        <v>5</v>
      </c>
      <c r="B22" t="s">
        <v>6</v>
      </c>
      <c r="C22">
        <v>94.81</v>
      </c>
      <c r="D22">
        <v>94.263919999999999</v>
      </c>
      <c r="E22" s="1">
        <v>41153</v>
      </c>
      <c r="F22">
        <f t="shared" si="0"/>
        <v>9</v>
      </c>
      <c r="G22">
        <f t="shared" si="1"/>
        <v>2012</v>
      </c>
    </row>
    <row r="23" spans="1:7" x14ac:dyDescent="0.25">
      <c r="A23" t="s">
        <v>5</v>
      </c>
      <c r="B23" t="s">
        <v>6</v>
      </c>
      <c r="C23">
        <v>95.03</v>
      </c>
      <c r="D23">
        <v>98.120699999999999</v>
      </c>
      <c r="E23" s="1">
        <v>41183</v>
      </c>
      <c r="F23">
        <f t="shared" si="0"/>
        <v>10</v>
      </c>
      <c r="G23">
        <f t="shared" si="1"/>
        <v>2012</v>
      </c>
    </row>
    <row r="24" spans="1:7" x14ac:dyDescent="0.25">
      <c r="A24" t="s">
        <v>5</v>
      </c>
      <c r="B24" t="s">
        <v>6</v>
      </c>
      <c r="C24">
        <v>95.54</v>
      </c>
      <c r="D24">
        <v>96.983400000000003</v>
      </c>
      <c r="E24" s="1">
        <v>41214</v>
      </c>
      <c r="F24">
        <f t="shared" si="0"/>
        <v>11</v>
      </c>
      <c r="G24">
        <f t="shared" si="1"/>
        <v>2012</v>
      </c>
    </row>
    <row r="25" spans="1:7" x14ac:dyDescent="0.25">
      <c r="A25" t="s">
        <v>5</v>
      </c>
      <c r="B25" t="s">
        <v>6</v>
      </c>
      <c r="C25">
        <v>96.78</v>
      </c>
      <c r="D25">
        <v>103.89676</v>
      </c>
      <c r="E25" s="1">
        <v>41244</v>
      </c>
      <c r="F25">
        <f t="shared" si="0"/>
        <v>12</v>
      </c>
      <c r="G25">
        <f t="shared" si="1"/>
        <v>2012</v>
      </c>
    </row>
    <row r="26" spans="1:7" x14ac:dyDescent="0.25">
      <c r="A26" t="s">
        <v>5</v>
      </c>
      <c r="B26" t="s">
        <v>6</v>
      </c>
      <c r="C26">
        <v>95.83</v>
      </c>
      <c r="D26">
        <v>92.545659999999998</v>
      </c>
      <c r="E26" s="1">
        <v>41275</v>
      </c>
      <c r="F26">
        <f t="shared" si="0"/>
        <v>1</v>
      </c>
      <c r="G26">
        <f t="shared" si="1"/>
        <v>2013</v>
      </c>
    </row>
    <row r="27" spans="1:7" x14ac:dyDescent="0.25">
      <c r="A27" t="s">
        <v>5</v>
      </c>
      <c r="B27" t="s">
        <v>6</v>
      </c>
      <c r="C27">
        <v>96.21</v>
      </c>
      <c r="D27">
        <v>88.618650000000002</v>
      </c>
      <c r="E27" s="1">
        <v>41306</v>
      </c>
      <c r="F27">
        <f t="shared" si="0"/>
        <v>2</v>
      </c>
      <c r="G27">
        <f t="shared" si="1"/>
        <v>2013</v>
      </c>
    </row>
    <row r="28" spans="1:7" x14ac:dyDescent="0.25">
      <c r="A28" t="s">
        <v>5</v>
      </c>
      <c r="B28" t="s">
        <v>6</v>
      </c>
      <c r="C28">
        <v>96.77</v>
      </c>
      <c r="D28">
        <v>95.838880000000003</v>
      </c>
      <c r="E28" s="1">
        <v>41334</v>
      </c>
      <c r="F28">
        <f t="shared" si="0"/>
        <v>3</v>
      </c>
      <c r="G28">
        <f t="shared" si="1"/>
        <v>2013</v>
      </c>
    </row>
    <row r="29" spans="1:7" x14ac:dyDescent="0.25">
      <c r="A29" t="s">
        <v>5</v>
      </c>
      <c r="B29" t="s">
        <v>6</v>
      </c>
      <c r="C29">
        <v>97.78</v>
      </c>
      <c r="D29">
        <v>96.945329999999998</v>
      </c>
      <c r="E29" s="1">
        <v>41365</v>
      </c>
      <c r="F29">
        <f t="shared" si="0"/>
        <v>4</v>
      </c>
      <c r="G29">
        <f t="shared" si="1"/>
        <v>2013</v>
      </c>
    </row>
    <row r="30" spans="1:7" x14ac:dyDescent="0.25">
      <c r="A30" t="s">
        <v>5</v>
      </c>
      <c r="B30" t="s">
        <v>6</v>
      </c>
      <c r="C30">
        <v>97.44</v>
      </c>
      <c r="D30">
        <v>97.9148</v>
      </c>
      <c r="E30" s="1">
        <v>41395</v>
      </c>
      <c r="F30">
        <f t="shared" si="0"/>
        <v>5</v>
      </c>
      <c r="G30">
        <f t="shared" si="1"/>
        <v>2013</v>
      </c>
    </row>
    <row r="31" spans="1:7" x14ac:dyDescent="0.25">
      <c r="A31" t="s">
        <v>5</v>
      </c>
      <c r="B31" t="s">
        <v>6</v>
      </c>
      <c r="C31">
        <v>98.63</v>
      </c>
      <c r="D31">
        <v>96.800870000000003</v>
      </c>
      <c r="E31" s="1">
        <v>41426</v>
      </c>
      <c r="F31">
        <f t="shared" si="0"/>
        <v>6</v>
      </c>
      <c r="G31">
        <f t="shared" si="1"/>
        <v>2013</v>
      </c>
    </row>
    <row r="32" spans="1:7" x14ac:dyDescent="0.25">
      <c r="A32" t="s">
        <v>5</v>
      </c>
      <c r="B32" t="s">
        <v>6</v>
      </c>
      <c r="C32">
        <v>98.2</v>
      </c>
      <c r="D32">
        <v>99.277029999999996</v>
      </c>
      <c r="E32" s="1">
        <v>41456</v>
      </c>
      <c r="F32">
        <f t="shared" si="0"/>
        <v>7</v>
      </c>
      <c r="G32">
        <f t="shared" si="1"/>
        <v>2013</v>
      </c>
    </row>
    <row r="33" spans="1:7" x14ac:dyDescent="0.25">
      <c r="A33" t="s">
        <v>5</v>
      </c>
      <c r="B33" t="s">
        <v>6</v>
      </c>
      <c r="C33">
        <v>97.97</v>
      </c>
      <c r="D33">
        <v>99.333730000000003</v>
      </c>
      <c r="E33" s="1">
        <v>41487</v>
      </c>
      <c r="F33">
        <f t="shared" si="0"/>
        <v>8</v>
      </c>
      <c r="G33">
        <f t="shared" si="1"/>
        <v>2013</v>
      </c>
    </row>
    <row r="34" spans="1:7" x14ac:dyDescent="0.25">
      <c r="A34" t="s">
        <v>5</v>
      </c>
      <c r="B34" t="s">
        <v>6</v>
      </c>
      <c r="C34">
        <v>98.97</v>
      </c>
      <c r="D34">
        <v>98.932649999999995</v>
      </c>
      <c r="E34" s="1">
        <v>41518</v>
      </c>
      <c r="F34">
        <f t="shared" si="0"/>
        <v>9</v>
      </c>
      <c r="G34">
        <f t="shared" si="1"/>
        <v>2013</v>
      </c>
    </row>
    <row r="35" spans="1:7" x14ac:dyDescent="0.25">
      <c r="A35" t="s">
        <v>5</v>
      </c>
      <c r="B35" t="s">
        <v>6</v>
      </c>
      <c r="C35">
        <v>99.3</v>
      </c>
      <c r="D35">
        <v>102.21061</v>
      </c>
      <c r="E35" s="1">
        <v>41548</v>
      </c>
      <c r="F35">
        <f t="shared" si="0"/>
        <v>10</v>
      </c>
      <c r="G35">
        <f t="shared" si="1"/>
        <v>2013</v>
      </c>
    </row>
    <row r="36" spans="1:7" x14ac:dyDescent="0.25">
      <c r="A36" t="s">
        <v>5</v>
      </c>
      <c r="B36" t="s">
        <v>6</v>
      </c>
      <c r="C36">
        <v>99.99</v>
      </c>
      <c r="D36">
        <v>101.19192</v>
      </c>
      <c r="E36" s="1">
        <v>41579</v>
      </c>
      <c r="F36">
        <f t="shared" si="0"/>
        <v>11</v>
      </c>
      <c r="G36">
        <f t="shared" si="1"/>
        <v>2013</v>
      </c>
    </row>
    <row r="37" spans="1:7" x14ac:dyDescent="0.25">
      <c r="A37" t="s">
        <v>5</v>
      </c>
      <c r="B37" t="s">
        <v>6</v>
      </c>
      <c r="C37">
        <v>100.09</v>
      </c>
      <c r="D37">
        <v>107.58205</v>
      </c>
      <c r="E37" s="1">
        <v>41609</v>
      </c>
      <c r="F37">
        <f t="shared" si="0"/>
        <v>12</v>
      </c>
      <c r="G37">
        <f t="shared" si="1"/>
        <v>2013</v>
      </c>
    </row>
    <row r="38" spans="1:7" x14ac:dyDescent="0.25">
      <c r="A38" t="s">
        <v>5</v>
      </c>
      <c r="B38" t="s">
        <v>6</v>
      </c>
      <c r="C38">
        <v>100.86</v>
      </c>
      <c r="D38">
        <v>97.630660000000006</v>
      </c>
      <c r="E38" s="1">
        <v>41640</v>
      </c>
      <c r="F38">
        <f t="shared" si="0"/>
        <v>1</v>
      </c>
      <c r="G38">
        <f t="shared" si="1"/>
        <v>2014</v>
      </c>
    </row>
    <row r="39" spans="1:7" x14ac:dyDescent="0.25">
      <c r="A39" t="s">
        <v>5</v>
      </c>
      <c r="B39" t="s">
        <v>6</v>
      </c>
      <c r="C39">
        <v>100.41</v>
      </c>
      <c r="D39">
        <v>94.77919</v>
      </c>
      <c r="E39" s="1">
        <v>41671</v>
      </c>
      <c r="F39">
        <f t="shared" si="0"/>
        <v>2</v>
      </c>
      <c r="G39">
        <f t="shared" si="1"/>
        <v>2014</v>
      </c>
    </row>
    <row r="40" spans="1:7" x14ac:dyDescent="0.25">
      <c r="A40" t="s">
        <v>5</v>
      </c>
      <c r="B40" t="s">
        <v>6</v>
      </c>
      <c r="C40">
        <v>100.18</v>
      </c>
      <c r="D40">
        <v>98.554590000000005</v>
      </c>
      <c r="E40" s="1">
        <v>41699</v>
      </c>
      <c r="F40">
        <f t="shared" si="0"/>
        <v>3</v>
      </c>
      <c r="G40">
        <f t="shared" si="1"/>
        <v>2014</v>
      </c>
    </row>
    <row r="41" spans="1:7" x14ac:dyDescent="0.25">
      <c r="A41" t="s">
        <v>5</v>
      </c>
      <c r="B41" t="s">
        <v>6</v>
      </c>
      <c r="C41">
        <v>100.68</v>
      </c>
      <c r="D41">
        <v>98.575109999999995</v>
      </c>
      <c r="E41" s="1">
        <v>41730</v>
      </c>
      <c r="F41">
        <f t="shared" si="0"/>
        <v>4</v>
      </c>
      <c r="G41">
        <f t="shared" si="1"/>
        <v>2014</v>
      </c>
    </row>
    <row r="42" spans="1:7" x14ac:dyDescent="0.25">
      <c r="A42" t="s">
        <v>5</v>
      </c>
      <c r="B42" t="s">
        <v>6</v>
      </c>
      <c r="C42">
        <v>100.42</v>
      </c>
      <c r="D42">
        <v>100.64206</v>
      </c>
      <c r="E42" s="1">
        <v>41760</v>
      </c>
      <c r="F42">
        <f t="shared" si="0"/>
        <v>5</v>
      </c>
      <c r="G42">
        <f t="shared" si="1"/>
        <v>2014</v>
      </c>
    </row>
    <row r="43" spans="1:7" x14ac:dyDescent="0.25">
      <c r="A43" t="s">
        <v>5</v>
      </c>
      <c r="B43" t="s">
        <v>6</v>
      </c>
      <c r="C43">
        <v>99.91</v>
      </c>
      <c r="D43">
        <v>98.270290000000003</v>
      </c>
      <c r="E43" s="1">
        <v>41791</v>
      </c>
      <c r="F43">
        <f t="shared" si="0"/>
        <v>6</v>
      </c>
      <c r="G43">
        <f t="shared" si="1"/>
        <v>2014</v>
      </c>
    </row>
    <row r="44" spans="1:7" x14ac:dyDescent="0.25">
      <c r="A44" t="s">
        <v>5</v>
      </c>
      <c r="B44" t="s">
        <v>6</v>
      </c>
      <c r="C44">
        <v>100.37</v>
      </c>
      <c r="D44">
        <v>101.36623</v>
      </c>
      <c r="E44" s="1">
        <v>41821</v>
      </c>
      <c r="F44">
        <f t="shared" si="0"/>
        <v>7</v>
      </c>
      <c r="G44">
        <f t="shared" si="1"/>
        <v>2014</v>
      </c>
    </row>
    <row r="45" spans="1:7" x14ac:dyDescent="0.25">
      <c r="A45" t="s">
        <v>5</v>
      </c>
      <c r="B45" t="s">
        <v>6</v>
      </c>
      <c r="C45">
        <v>100.16</v>
      </c>
      <c r="D45">
        <v>100.76381000000001</v>
      </c>
      <c r="E45" s="1">
        <v>41852</v>
      </c>
      <c r="F45">
        <f t="shared" si="0"/>
        <v>8</v>
      </c>
      <c r="G45">
        <f t="shared" si="1"/>
        <v>2014</v>
      </c>
    </row>
    <row r="46" spans="1:7" x14ac:dyDescent="0.25">
      <c r="A46" t="s">
        <v>5</v>
      </c>
      <c r="B46" t="s">
        <v>6</v>
      </c>
      <c r="C46">
        <v>100.91</v>
      </c>
      <c r="D46">
        <v>101.9635</v>
      </c>
      <c r="E46" s="1">
        <v>41883</v>
      </c>
      <c r="F46">
        <f t="shared" si="0"/>
        <v>9</v>
      </c>
      <c r="G46">
        <f t="shared" si="1"/>
        <v>2014</v>
      </c>
    </row>
    <row r="47" spans="1:7" x14ac:dyDescent="0.25">
      <c r="A47" t="s">
        <v>5</v>
      </c>
      <c r="B47" t="s">
        <v>6</v>
      </c>
      <c r="C47">
        <v>101.4</v>
      </c>
      <c r="D47">
        <v>104.23927</v>
      </c>
      <c r="E47" s="1">
        <v>41913</v>
      </c>
      <c r="F47">
        <f t="shared" si="0"/>
        <v>10</v>
      </c>
      <c r="G47">
        <f t="shared" si="1"/>
        <v>2014</v>
      </c>
    </row>
    <row r="48" spans="1:7" x14ac:dyDescent="0.25">
      <c r="A48" t="s">
        <v>5</v>
      </c>
      <c r="B48" t="s">
        <v>6</v>
      </c>
      <c r="C48">
        <v>102.08</v>
      </c>
      <c r="D48">
        <v>102.23443</v>
      </c>
      <c r="E48" s="1">
        <v>41944</v>
      </c>
      <c r="F48">
        <f t="shared" si="0"/>
        <v>11</v>
      </c>
      <c r="G48">
        <f t="shared" si="1"/>
        <v>2014</v>
      </c>
    </row>
    <row r="49" spans="1:7" x14ac:dyDescent="0.25">
      <c r="A49" t="s">
        <v>5</v>
      </c>
      <c r="B49" t="s">
        <v>6</v>
      </c>
      <c r="C49">
        <v>99.78</v>
      </c>
      <c r="D49">
        <v>108.13736</v>
      </c>
      <c r="E49" s="1">
        <v>41974</v>
      </c>
      <c r="F49">
        <f t="shared" si="0"/>
        <v>12</v>
      </c>
      <c r="G49">
        <f t="shared" si="1"/>
        <v>2014</v>
      </c>
    </row>
    <row r="50" spans="1:7" x14ac:dyDescent="0.25">
      <c r="A50" t="s">
        <v>5</v>
      </c>
      <c r="B50" t="s">
        <v>6</v>
      </c>
      <c r="C50">
        <v>98.32</v>
      </c>
      <c r="D50">
        <v>94.603790000000004</v>
      </c>
      <c r="E50" s="1">
        <v>42005</v>
      </c>
      <c r="F50">
        <f t="shared" si="0"/>
        <v>1</v>
      </c>
      <c r="G50">
        <f t="shared" si="1"/>
        <v>2015</v>
      </c>
    </row>
    <row r="51" spans="1:7" x14ac:dyDescent="0.25">
      <c r="A51" t="s">
        <v>5</v>
      </c>
      <c r="B51" t="s">
        <v>6</v>
      </c>
      <c r="C51">
        <v>98.69</v>
      </c>
      <c r="D51">
        <v>91.125579999999999</v>
      </c>
      <c r="E51" s="1">
        <v>42036</v>
      </c>
      <c r="F51">
        <f t="shared" si="0"/>
        <v>2</v>
      </c>
      <c r="G51">
        <f t="shared" si="1"/>
        <v>2015</v>
      </c>
    </row>
    <row r="52" spans="1:7" x14ac:dyDescent="0.25">
      <c r="A52" t="s">
        <v>5</v>
      </c>
      <c r="B52" t="s">
        <v>6</v>
      </c>
      <c r="C52">
        <v>99.91</v>
      </c>
      <c r="D52">
        <v>100.82026999999999</v>
      </c>
      <c r="E52" s="1">
        <v>42064</v>
      </c>
      <c r="F52">
        <f t="shared" si="0"/>
        <v>3</v>
      </c>
      <c r="G52">
        <f t="shared" si="1"/>
        <v>2015</v>
      </c>
    </row>
    <row r="53" spans="1:7" x14ac:dyDescent="0.25">
      <c r="A53" t="s">
        <v>5</v>
      </c>
      <c r="B53" t="s">
        <v>6</v>
      </c>
      <c r="C53">
        <v>98.27</v>
      </c>
      <c r="D53">
        <v>95.752849999999995</v>
      </c>
      <c r="E53" s="1">
        <v>42095</v>
      </c>
      <c r="F53">
        <f t="shared" si="0"/>
        <v>4</v>
      </c>
      <c r="G53">
        <f t="shared" si="1"/>
        <v>2015</v>
      </c>
    </row>
    <row r="54" spans="1:7" x14ac:dyDescent="0.25">
      <c r="A54" t="s">
        <v>5</v>
      </c>
      <c r="B54" t="s">
        <v>6</v>
      </c>
      <c r="C54">
        <v>98.03</v>
      </c>
      <c r="D54">
        <v>97.48066</v>
      </c>
      <c r="E54" s="1">
        <v>42125</v>
      </c>
      <c r="F54">
        <f t="shared" si="0"/>
        <v>5</v>
      </c>
      <c r="G54">
        <f t="shared" si="1"/>
        <v>2015</v>
      </c>
    </row>
    <row r="55" spans="1:7" x14ac:dyDescent="0.25">
      <c r="A55" t="s">
        <v>5</v>
      </c>
      <c r="B55" t="s">
        <v>6</v>
      </c>
      <c r="C55">
        <v>96.5</v>
      </c>
      <c r="D55">
        <v>96.081559999999996</v>
      </c>
      <c r="E55" s="1">
        <v>42156</v>
      </c>
      <c r="F55">
        <f t="shared" si="0"/>
        <v>6</v>
      </c>
      <c r="G55">
        <f t="shared" si="1"/>
        <v>2015</v>
      </c>
    </row>
    <row r="56" spans="1:7" x14ac:dyDescent="0.25">
      <c r="A56" t="s">
        <v>5</v>
      </c>
      <c r="B56" t="s">
        <v>6</v>
      </c>
      <c r="C56">
        <v>95.97</v>
      </c>
      <c r="D56">
        <v>97.080740000000006</v>
      </c>
      <c r="E56" s="1">
        <v>42186</v>
      </c>
      <c r="F56">
        <f t="shared" si="0"/>
        <v>7</v>
      </c>
      <c r="G56">
        <f t="shared" si="1"/>
        <v>2015</v>
      </c>
    </row>
    <row r="57" spans="1:7" x14ac:dyDescent="0.25">
      <c r="A57" t="s">
        <v>5</v>
      </c>
      <c r="B57" t="s">
        <v>6</v>
      </c>
      <c r="C57">
        <v>96.8</v>
      </c>
      <c r="D57">
        <v>97.223429999999993</v>
      </c>
      <c r="E57" s="1">
        <v>42217</v>
      </c>
      <c r="F57">
        <f t="shared" si="0"/>
        <v>8</v>
      </c>
      <c r="G57">
        <f t="shared" si="1"/>
        <v>2015</v>
      </c>
    </row>
    <row r="58" spans="1:7" x14ac:dyDescent="0.25">
      <c r="A58" t="s">
        <v>5</v>
      </c>
      <c r="B58" t="s">
        <v>6</v>
      </c>
      <c r="C58">
        <v>95.84</v>
      </c>
      <c r="D58">
        <v>97.072699999999998</v>
      </c>
      <c r="E58" s="1">
        <v>42248</v>
      </c>
      <c r="F58">
        <f t="shared" si="0"/>
        <v>9</v>
      </c>
      <c r="G58">
        <f t="shared" si="1"/>
        <v>2015</v>
      </c>
    </row>
    <row r="59" spans="1:7" x14ac:dyDescent="0.25">
      <c r="A59" t="s">
        <v>5</v>
      </c>
      <c r="B59" t="s">
        <v>6</v>
      </c>
      <c r="C59">
        <v>96.03</v>
      </c>
      <c r="D59">
        <v>98.164529999999999</v>
      </c>
      <c r="E59" s="1">
        <v>42278</v>
      </c>
      <c r="F59">
        <f t="shared" si="0"/>
        <v>10</v>
      </c>
      <c r="G59">
        <f t="shared" si="1"/>
        <v>2015</v>
      </c>
    </row>
    <row r="60" spans="1:7" x14ac:dyDescent="0.25">
      <c r="A60" t="s">
        <v>5</v>
      </c>
      <c r="B60" t="s">
        <v>6</v>
      </c>
      <c r="C60">
        <v>95.17</v>
      </c>
      <c r="D60">
        <v>95.715459999999993</v>
      </c>
      <c r="E60" s="1">
        <v>42309</v>
      </c>
      <c r="F60">
        <f t="shared" si="0"/>
        <v>11</v>
      </c>
      <c r="G60">
        <f t="shared" si="1"/>
        <v>2015</v>
      </c>
    </row>
    <row r="61" spans="1:7" x14ac:dyDescent="0.25">
      <c r="A61" t="s">
        <v>5</v>
      </c>
      <c r="B61" t="s">
        <v>6</v>
      </c>
      <c r="C61">
        <v>94.48</v>
      </c>
      <c r="D61">
        <v>102.69431</v>
      </c>
      <c r="E61" s="1">
        <v>42339</v>
      </c>
      <c r="F61">
        <f t="shared" si="0"/>
        <v>12</v>
      </c>
      <c r="G61">
        <f t="shared" si="1"/>
        <v>2015</v>
      </c>
    </row>
    <row r="62" spans="1:7" x14ac:dyDescent="0.25">
      <c r="A62" t="s">
        <v>5</v>
      </c>
      <c r="B62" t="s">
        <v>6</v>
      </c>
      <c r="C62">
        <v>94.27</v>
      </c>
      <c r="D62">
        <v>89.875209999999996</v>
      </c>
      <c r="E62" s="1">
        <v>42370</v>
      </c>
      <c r="F62">
        <f t="shared" si="0"/>
        <v>1</v>
      </c>
      <c r="G62">
        <f t="shared" si="1"/>
        <v>2016</v>
      </c>
    </row>
    <row r="63" spans="1:7" x14ac:dyDescent="0.25">
      <c r="A63" t="s">
        <v>5</v>
      </c>
      <c r="B63" t="s">
        <v>6</v>
      </c>
      <c r="C63">
        <v>94.42</v>
      </c>
      <c r="D63">
        <v>87.590249999999997</v>
      </c>
      <c r="E63" s="1">
        <v>42401</v>
      </c>
      <c r="F63">
        <f t="shared" si="0"/>
        <v>2</v>
      </c>
      <c r="G63">
        <f t="shared" si="1"/>
        <v>2016</v>
      </c>
    </row>
    <row r="64" spans="1:7" x14ac:dyDescent="0.25">
      <c r="A64" t="s">
        <v>5</v>
      </c>
      <c r="B64" t="s">
        <v>6</v>
      </c>
      <c r="C64">
        <v>94.49</v>
      </c>
      <c r="D64">
        <v>94.868369999999999</v>
      </c>
      <c r="E64" s="1">
        <v>42430</v>
      </c>
      <c r="F64">
        <f t="shared" si="0"/>
        <v>3</v>
      </c>
      <c r="G64">
        <f t="shared" si="1"/>
        <v>2016</v>
      </c>
    </row>
    <row r="65" spans="1:7" x14ac:dyDescent="0.25">
      <c r="A65" t="s">
        <v>5</v>
      </c>
      <c r="B65" t="s">
        <v>6</v>
      </c>
      <c r="C65">
        <v>92.61</v>
      </c>
      <c r="D65">
        <v>91.180019999999999</v>
      </c>
      <c r="E65" s="1">
        <v>42461</v>
      </c>
      <c r="F65">
        <f t="shared" si="0"/>
        <v>4</v>
      </c>
      <c r="G65">
        <f t="shared" si="1"/>
        <v>2016</v>
      </c>
    </row>
    <row r="66" spans="1:7" x14ac:dyDescent="0.25">
      <c r="A66" t="s">
        <v>5</v>
      </c>
      <c r="B66" t="s">
        <v>6</v>
      </c>
      <c r="C66">
        <v>92.69</v>
      </c>
      <c r="D66">
        <v>91.578559999999996</v>
      </c>
      <c r="E66" s="1">
        <v>42491</v>
      </c>
      <c r="F66">
        <f t="shared" ref="F66:F129" si="2">MONTH(E66)</f>
        <v>5</v>
      </c>
      <c r="G66">
        <f t="shared" ref="G66:G129" si="3">YEAR(E66)</f>
        <v>2016</v>
      </c>
    </row>
    <row r="67" spans="1:7" x14ac:dyDescent="0.25">
      <c r="A67" t="s">
        <v>5</v>
      </c>
      <c r="B67" t="s">
        <v>6</v>
      </c>
      <c r="C67">
        <v>92.31</v>
      </c>
      <c r="D67">
        <v>92.819820000000007</v>
      </c>
      <c r="E67" s="1">
        <v>42522</v>
      </c>
      <c r="F67">
        <f t="shared" si="2"/>
        <v>6</v>
      </c>
      <c r="G67">
        <f t="shared" si="3"/>
        <v>2016</v>
      </c>
    </row>
    <row r="68" spans="1:7" x14ac:dyDescent="0.25">
      <c r="A68" t="s">
        <v>5</v>
      </c>
      <c r="B68" t="s">
        <v>6</v>
      </c>
      <c r="C68">
        <v>92.81</v>
      </c>
      <c r="D68">
        <v>92.749139999999997</v>
      </c>
      <c r="E68" s="1">
        <v>42552</v>
      </c>
      <c r="F68">
        <f t="shared" si="2"/>
        <v>7</v>
      </c>
      <c r="G68">
        <f t="shared" si="3"/>
        <v>2016</v>
      </c>
    </row>
    <row r="69" spans="1:7" x14ac:dyDescent="0.25">
      <c r="A69" t="s">
        <v>5</v>
      </c>
      <c r="B69" t="s">
        <v>6</v>
      </c>
      <c r="C69">
        <v>91.44</v>
      </c>
      <c r="D69">
        <v>93.398920000000004</v>
      </c>
      <c r="E69" s="1">
        <v>42583</v>
      </c>
      <c r="F69">
        <f t="shared" si="2"/>
        <v>8</v>
      </c>
      <c r="G69">
        <f t="shared" si="3"/>
        <v>2016</v>
      </c>
    </row>
    <row r="70" spans="1:7" x14ac:dyDescent="0.25">
      <c r="A70" t="s">
        <v>5</v>
      </c>
      <c r="B70" t="s">
        <v>6</v>
      </c>
      <c r="C70">
        <v>91.33</v>
      </c>
      <c r="D70">
        <v>92.340770000000006</v>
      </c>
      <c r="E70" s="1">
        <v>42614</v>
      </c>
      <c r="F70">
        <f t="shared" si="2"/>
        <v>9</v>
      </c>
      <c r="G70">
        <f t="shared" si="3"/>
        <v>2016</v>
      </c>
    </row>
    <row r="71" spans="1:7" x14ac:dyDescent="0.25">
      <c r="A71" t="s">
        <v>5</v>
      </c>
      <c r="B71" t="s">
        <v>6</v>
      </c>
      <c r="C71">
        <v>89.63</v>
      </c>
      <c r="D71">
        <v>90.688299999999998</v>
      </c>
      <c r="E71" s="1">
        <v>42644</v>
      </c>
      <c r="F71">
        <f t="shared" si="2"/>
        <v>10</v>
      </c>
      <c r="G71">
        <f t="shared" si="3"/>
        <v>2016</v>
      </c>
    </row>
    <row r="72" spans="1:7" x14ac:dyDescent="0.25">
      <c r="A72" t="s">
        <v>5</v>
      </c>
      <c r="B72" t="s">
        <v>6</v>
      </c>
      <c r="C72">
        <v>89.59</v>
      </c>
      <c r="D72">
        <v>91.290040000000005</v>
      </c>
      <c r="E72" s="1">
        <v>42675</v>
      </c>
      <c r="F72">
        <f t="shared" si="2"/>
        <v>11</v>
      </c>
      <c r="G72">
        <f t="shared" si="3"/>
        <v>2016</v>
      </c>
    </row>
    <row r="73" spans="1:7" x14ac:dyDescent="0.25">
      <c r="A73" t="s">
        <v>5</v>
      </c>
      <c r="B73" t="s">
        <v>6</v>
      </c>
      <c r="C73">
        <v>88.97</v>
      </c>
      <c r="D73">
        <v>96.825640000000007</v>
      </c>
      <c r="E73" s="1">
        <v>42705</v>
      </c>
      <c r="F73">
        <f t="shared" si="2"/>
        <v>12</v>
      </c>
      <c r="G73">
        <f t="shared" si="3"/>
        <v>2016</v>
      </c>
    </row>
    <row r="74" spans="1:7" x14ac:dyDescent="0.25">
      <c r="A74" t="s">
        <v>5</v>
      </c>
      <c r="B74" t="s">
        <v>6</v>
      </c>
      <c r="C74">
        <v>90.74</v>
      </c>
      <c r="D74">
        <v>86.702290000000005</v>
      </c>
      <c r="E74" s="1">
        <v>42736</v>
      </c>
      <c r="F74">
        <f t="shared" si="2"/>
        <v>1</v>
      </c>
      <c r="G74">
        <f t="shared" si="3"/>
        <v>2017</v>
      </c>
    </row>
    <row r="75" spans="1:7" x14ac:dyDescent="0.25">
      <c r="A75" t="s">
        <v>5</v>
      </c>
      <c r="B75" t="s">
        <v>6</v>
      </c>
      <c r="C75">
        <v>90.61</v>
      </c>
      <c r="D75">
        <v>82.920879999999997</v>
      </c>
      <c r="E75" s="1">
        <v>42767</v>
      </c>
      <c r="F75">
        <f t="shared" si="2"/>
        <v>2</v>
      </c>
      <c r="G75">
        <f t="shared" si="3"/>
        <v>2017</v>
      </c>
    </row>
    <row r="76" spans="1:7" x14ac:dyDescent="0.25">
      <c r="A76" t="s">
        <v>5</v>
      </c>
      <c r="B76" t="s">
        <v>6</v>
      </c>
      <c r="C76">
        <v>88.24</v>
      </c>
      <c r="D76">
        <v>89.890529999999998</v>
      </c>
      <c r="E76" s="1">
        <v>42795</v>
      </c>
      <c r="F76">
        <f t="shared" si="2"/>
        <v>3</v>
      </c>
      <c r="G76">
        <f t="shared" si="3"/>
        <v>2017</v>
      </c>
    </row>
    <row r="77" spans="1:7" x14ac:dyDescent="0.25">
      <c r="A77" t="s">
        <v>5</v>
      </c>
      <c r="B77" t="s">
        <v>6</v>
      </c>
      <c r="C77">
        <v>89.9</v>
      </c>
      <c r="D77">
        <v>85.941890000000001</v>
      </c>
      <c r="E77" s="1">
        <v>42826</v>
      </c>
      <c r="F77">
        <f t="shared" si="2"/>
        <v>4</v>
      </c>
      <c r="G77">
        <f t="shared" si="3"/>
        <v>2017</v>
      </c>
    </row>
    <row r="78" spans="1:7" x14ac:dyDescent="0.25">
      <c r="A78" t="s">
        <v>5</v>
      </c>
      <c r="B78" t="s">
        <v>6</v>
      </c>
      <c r="C78">
        <v>88.98</v>
      </c>
      <c r="D78">
        <v>89.814319999999995</v>
      </c>
      <c r="E78" s="1">
        <v>42856</v>
      </c>
      <c r="F78">
        <f t="shared" si="2"/>
        <v>5</v>
      </c>
      <c r="G78">
        <f t="shared" si="3"/>
        <v>2017</v>
      </c>
    </row>
    <row r="79" spans="1:7" x14ac:dyDescent="0.25">
      <c r="A79" t="s">
        <v>5</v>
      </c>
      <c r="B79" t="s">
        <v>6</v>
      </c>
      <c r="C79">
        <v>90.22</v>
      </c>
      <c r="D79">
        <v>90.055490000000006</v>
      </c>
      <c r="E79" s="1">
        <v>42887</v>
      </c>
      <c r="F79">
        <f t="shared" si="2"/>
        <v>6</v>
      </c>
      <c r="G79">
        <f t="shared" si="3"/>
        <v>2017</v>
      </c>
    </row>
    <row r="80" spans="1:7" x14ac:dyDescent="0.25">
      <c r="A80" t="s">
        <v>5</v>
      </c>
      <c r="B80" t="s">
        <v>6</v>
      </c>
      <c r="C80">
        <v>89.99</v>
      </c>
      <c r="D80">
        <v>89.754670000000004</v>
      </c>
      <c r="E80" s="1">
        <v>42917</v>
      </c>
      <c r="F80">
        <f t="shared" si="2"/>
        <v>7</v>
      </c>
      <c r="G80">
        <f t="shared" si="3"/>
        <v>2017</v>
      </c>
    </row>
    <row r="81" spans="1:7" x14ac:dyDescent="0.25">
      <c r="A81" t="s">
        <v>5</v>
      </c>
      <c r="B81" t="s">
        <v>6</v>
      </c>
      <c r="C81">
        <v>89.18</v>
      </c>
      <c r="D81">
        <v>91.012429999999995</v>
      </c>
      <c r="E81" s="1">
        <v>42948</v>
      </c>
      <c r="F81">
        <f t="shared" si="2"/>
        <v>8</v>
      </c>
      <c r="G81">
        <f t="shared" si="3"/>
        <v>2017</v>
      </c>
    </row>
    <row r="82" spans="1:7" x14ac:dyDescent="0.25">
      <c r="A82" t="s">
        <v>5</v>
      </c>
      <c r="B82" t="s">
        <v>6</v>
      </c>
      <c r="C82">
        <v>88.62</v>
      </c>
      <c r="D82">
        <v>89.394850000000005</v>
      </c>
      <c r="E82" s="1">
        <v>42979</v>
      </c>
      <c r="F82">
        <f t="shared" si="2"/>
        <v>9</v>
      </c>
      <c r="G82">
        <f t="shared" si="3"/>
        <v>2017</v>
      </c>
    </row>
    <row r="83" spans="1:7" x14ac:dyDescent="0.25">
      <c r="A83" t="s">
        <v>5</v>
      </c>
      <c r="B83" t="s">
        <v>6</v>
      </c>
      <c r="C83">
        <v>88.89</v>
      </c>
      <c r="D83">
        <v>90.35642</v>
      </c>
      <c r="E83" s="1">
        <v>43009</v>
      </c>
      <c r="F83">
        <f t="shared" si="2"/>
        <v>10</v>
      </c>
      <c r="G83">
        <f t="shared" si="3"/>
        <v>2017</v>
      </c>
    </row>
    <row r="84" spans="1:7" x14ac:dyDescent="0.25">
      <c r="A84" t="s">
        <v>5</v>
      </c>
      <c r="B84" t="s">
        <v>6</v>
      </c>
      <c r="C84">
        <v>89.14</v>
      </c>
      <c r="D84">
        <v>90.669960000000003</v>
      </c>
      <c r="E84" s="1">
        <v>43040</v>
      </c>
      <c r="F84">
        <f t="shared" si="2"/>
        <v>11</v>
      </c>
      <c r="G84">
        <f t="shared" si="3"/>
        <v>2017</v>
      </c>
    </row>
    <row r="85" spans="1:7" x14ac:dyDescent="0.25">
      <c r="A85" t="s">
        <v>5</v>
      </c>
      <c r="B85" t="s">
        <v>6</v>
      </c>
      <c r="C85">
        <v>90.1</v>
      </c>
      <c r="D85">
        <v>97.366919999999993</v>
      </c>
      <c r="E85" s="1">
        <v>43070</v>
      </c>
      <c r="F85">
        <f t="shared" si="2"/>
        <v>12</v>
      </c>
      <c r="G85">
        <f t="shared" si="3"/>
        <v>2017</v>
      </c>
    </row>
    <row r="86" spans="1:7" x14ac:dyDescent="0.25">
      <c r="A86" t="s">
        <v>5</v>
      </c>
      <c r="B86" t="s">
        <v>6</v>
      </c>
      <c r="C86">
        <v>88.45</v>
      </c>
      <c r="D86">
        <v>85.417519999999996</v>
      </c>
      <c r="E86" s="1">
        <v>43101</v>
      </c>
      <c r="F86">
        <f t="shared" si="2"/>
        <v>1</v>
      </c>
      <c r="G86">
        <f t="shared" si="3"/>
        <v>2018</v>
      </c>
    </row>
    <row r="87" spans="1:7" x14ac:dyDescent="0.25">
      <c r="A87" t="s">
        <v>5</v>
      </c>
      <c r="B87" t="s">
        <v>6</v>
      </c>
      <c r="C87">
        <v>88.81</v>
      </c>
      <c r="D87">
        <v>81.027159999999995</v>
      </c>
      <c r="E87" s="1">
        <v>43132</v>
      </c>
      <c r="F87">
        <f t="shared" si="2"/>
        <v>2</v>
      </c>
      <c r="G87">
        <f t="shared" si="3"/>
        <v>2018</v>
      </c>
    </row>
    <row r="88" spans="1:7" x14ac:dyDescent="0.25">
      <c r="A88" t="s">
        <v>5</v>
      </c>
      <c r="B88" t="s">
        <v>6</v>
      </c>
      <c r="C88">
        <v>89.39</v>
      </c>
      <c r="D88">
        <v>89.084460000000007</v>
      </c>
      <c r="E88" s="1">
        <v>43160</v>
      </c>
      <c r="F88">
        <f t="shared" si="2"/>
        <v>3</v>
      </c>
      <c r="G88">
        <f t="shared" si="3"/>
        <v>2018</v>
      </c>
    </row>
    <row r="89" spans="1:7" x14ac:dyDescent="0.25">
      <c r="A89" t="s">
        <v>5</v>
      </c>
      <c r="B89" t="s">
        <v>6</v>
      </c>
      <c r="C89">
        <v>90.05</v>
      </c>
      <c r="D89">
        <v>87.678820000000002</v>
      </c>
      <c r="E89" s="1">
        <v>43191</v>
      </c>
      <c r="F89">
        <f t="shared" si="2"/>
        <v>4</v>
      </c>
      <c r="G89">
        <f t="shared" si="3"/>
        <v>2018</v>
      </c>
    </row>
    <row r="90" spans="1:7" x14ac:dyDescent="0.25">
      <c r="A90" t="s">
        <v>5</v>
      </c>
      <c r="B90" t="s">
        <v>6</v>
      </c>
      <c r="C90">
        <v>85.8</v>
      </c>
      <c r="D90">
        <v>86.422470000000004</v>
      </c>
      <c r="E90" s="1">
        <v>43221</v>
      </c>
      <c r="F90">
        <f t="shared" si="2"/>
        <v>5</v>
      </c>
      <c r="G90">
        <f t="shared" si="3"/>
        <v>2018</v>
      </c>
    </row>
    <row r="91" spans="1:7" x14ac:dyDescent="0.25">
      <c r="A91" t="s">
        <v>5</v>
      </c>
      <c r="B91" t="s">
        <v>6</v>
      </c>
      <c r="C91">
        <v>91.2</v>
      </c>
      <c r="D91">
        <v>90.936250000000001</v>
      </c>
      <c r="E91" s="1">
        <v>43252</v>
      </c>
      <c r="F91">
        <f t="shared" si="2"/>
        <v>6</v>
      </c>
      <c r="G91">
        <f t="shared" si="3"/>
        <v>2018</v>
      </c>
    </row>
    <row r="92" spans="1:7" x14ac:dyDescent="0.25">
      <c r="A92" t="s">
        <v>5</v>
      </c>
      <c r="B92" t="s">
        <v>6</v>
      </c>
      <c r="C92">
        <v>89.34</v>
      </c>
      <c r="D92">
        <v>89.667100000000005</v>
      </c>
      <c r="E92" s="1">
        <v>43282</v>
      </c>
      <c r="F92">
        <f t="shared" si="2"/>
        <v>7</v>
      </c>
      <c r="G92">
        <f t="shared" si="3"/>
        <v>2018</v>
      </c>
    </row>
    <row r="93" spans="1:7" x14ac:dyDescent="0.25">
      <c r="A93" t="s">
        <v>5</v>
      </c>
      <c r="B93" t="s">
        <v>6</v>
      </c>
      <c r="C93">
        <v>90.64</v>
      </c>
      <c r="D93">
        <v>92.527109999999993</v>
      </c>
      <c r="E93" s="1">
        <v>43313</v>
      </c>
      <c r="F93">
        <f t="shared" si="2"/>
        <v>8</v>
      </c>
      <c r="G93">
        <f t="shared" si="3"/>
        <v>2018</v>
      </c>
    </row>
    <row r="94" spans="1:7" x14ac:dyDescent="0.25">
      <c r="A94" t="s">
        <v>5</v>
      </c>
      <c r="B94" t="s">
        <v>6</v>
      </c>
      <c r="C94">
        <v>90.14</v>
      </c>
      <c r="D94">
        <v>89.805970000000002</v>
      </c>
      <c r="E94" s="1">
        <v>43344</v>
      </c>
      <c r="F94">
        <f t="shared" si="2"/>
        <v>9</v>
      </c>
      <c r="G94">
        <f t="shared" si="3"/>
        <v>2018</v>
      </c>
    </row>
    <row r="95" spans="1:7" x14ac:dyDescent="0.25">
      <c r="A95" t="s">
        <v>5</v>
      </c>
      <c r="B95" t="s">
        <v>6</v>
      </c>
      <c r="C95">
        <v>89.29</v>
      </c>
      <c r="D95">
        <v>91.715879999999999</v>
      </c>
      <c r="E95" s="1">
        <v>43374</v>
      </c>
      <c r="F95">
        <f t="shared" si="2"/>
        <v>10</v>
      </c>
      <c r="G95">
        <f t="shared" si="3"/>
        <v>2018</v>
      </c>
    </row>
    <row r="96" spans="1:7" x14ac:dyDescent="0.25">
      <c r="A96" t="s">
        <v>5</v>
      </c>
      <c r="B96" t="s">
        <v>6</v>
      </c>
      <c r="C96">
        <v>89.66</v>
      </c>
      <c r="D96">
        <v>91.478870000000001</v>
      </c>
      <c r="E96" s="1">
        <v>43405</v>
      </c>
      <c r="F96">
        <f t="shared" si="2"/>
        <v>11</v>
      </c>
      <c r="G96">
        <f t="shared" si="3"/>
        <v>2018</v>
      </c>
    </row>
    <row r="97" spans="1:7" x14ac:dyDescent="0.25">
      <c r="A97" t="s">
        <v>5</v>
      </c>
      <c r="B97" t="s">
        <v>6</v>
      </c>
      <c r="C97">
        <v>90.48</v>
      </c>
      <c r="D97">
        <v>97.757779999999997</v>
      </c>
      <c r="E97" s="1">
        <v>43435</v>
      </c>
      <c r="F97">
        <f t="shared" si="2"/>
        <v>12</v>
      </c>
      <c r="G97">
        <f t="shared" si="3"/>
        <v>2018</v>
      </c>
    </row>
    <row r="98" spans="1:7" x14ac:dyDescent="0.25">
      <c r="A98" t="s">
        <v>5</v>
      </c>
      <c r="B98" t="s">
        <v>6</v>
      </c>
      <c r="C98">
        <v>90.28</v>
      </c>
      <c r="D98">
        <v>87.086119999999994</v>
      </c>
      <c r="E98" s="1">
        <v>43466</v>
      </c>
      <c r="F98">
        <f t="shared" si="2"/>
        <v>1</v>
      </c>
      <c r="G98">
        <f t="shared" si="3"/>
        <v>2019</v>
      </c>
    </row>
    <row r="99" spans="1:7" x14ac:dyDescent="0.25">
      <c r="A99" t="s">
        <v>5</v>
      </c>
      <c r="B99" t="s">
        <v>6</v>
      </c>
      <c r="C99">
        <v>89.43</v>
      </c>
      <c r="D99">
        <v>84.122159999999994</v>
      </c>
      <c r="E99" s="1">
        <v>43497</v>
      </c>
      <c r="F99">
        <f t="shared" si="2"/>
        <v>2</v>
      </c>
      <c r="G99">
        <f t="shared" si="3"/>
        <v>2019</v>
      </c>
    </row>
    <row r="100" spans="1:7" x14ac:dyDescent="0.25">
      <c r="A100" t="s">
        <v>5</v>
      </c>
      <c r="B100" t="s">
        <v>6</v>
      </c>
      <c r="C100">
        <v>89.45</v>
      </c>
      <c r="D100">
        <v>87.011139999999997</v>
      </c>
      <c r="E100" s="1">
        <v>43525</v>
      </c>
      <c r="F100">
        <f t="shared" si="2"/>
        <v>3</v>
      </c>
      <c r="G100">
        <f t="shared" si="3"/>
        <v>2019</v>
      </c>
    </row>
    <row r="101" spans="1:7" x14ac:dyDescent="0.25">
      <c r="A101" t="s">
        <v>5</v>
      </c>
      <c r="B101" t="s">
        <v>6</v>
      </c>
      <c r="C101">
        <v>89.93</v>
      </c>
      <c r="D101">
        <v>87.078890000000001</v>
      </c>
      <c r="E101" s="1">
        <v>43556</v>
      </c>
      <c r="F101">
        <f t="shared" si="2"/>
        <v>4</v>
      </c>
      <c r="G101">
        <f t="shared" si="3"/>
        <v>2019</v>
      </c>
    </row>
    <row r="102" spans="1:7" x14ac:dyDescent="0.25">
      <c r="A102" t="s">
        <v>5</v>
      </c>
      <c r="B102" t="s">
        <v>6</v>
      </c>
      <c r="C102">
        <v>90</v>
      </c>
      <c r="D102">
        <v>90.568449999999999</v>
      </c>
      <c r="E102" s="1">
        <v>43586</v>
      </c>
      <c r="F102">
        <f t="shared" si="2"/>
        <v>5</v>
      </c>
      <c r="G102">
        <f t="shared" si="3"/>
        <v>2019</v>
      </c>
    </row>
    <row r="103" spans="1:7" x14ac:dyDescent="0.25">
      <c r="A103" t="s">
        <v>5</v>
      </c>
      <c r="B103" t="s">
        <v>6</v>
      </c>
      <c r="C103">
        <v>88.99</v>
      </c>
      <c r="D103">
        <v>87.731009999999998</v>
      </c>
      <c r="E103" s="1">
        <v>43617</v>
      </c>
      <c r="F103">
        <f t="shared" si="2"/>
        <v>6</v>
      </c>
      <c r="G103">
        <f t="shared" si="3"/>
        <v>2019</v>
      </c>
    </row>
    <row r="104" spans="1:7" x14ac:dyDescent="0.25">
      <c r="A104" t="s">
        <v>5</v>
      </c>
      <c r="B104" t="s">
        <v>6</v>
      </c>
      <c r="C104">
        <v>90</v>
      </c>
      <c r="D104">
        <v>91.288380000000004</v>
      </c>
      <c r="E104" s="1">
        <v>43647</v>
      </c>
      <c r="F104">
        <f t="shared" si="2"/>
        <v>7</v>
      </c>
      <c r="G104">
        <f t="shared" si="3"/>
        <v>2019</v>
      </c>
    </row>
    <row r="105" spans="1:7" x14ac:dyDescent="0.25">
      <c r="A105" t="s">
        <v>5</v>
      </c>
      <c r="B105" t="s">
        <v>6</v>
      </c>
      <c r="C105">
        <v>89.82</v>
      </c>
      <c r="D105">
        <v>91.318060000000003</v>
      </c>
      <c r="E105" s="1">
        <v>43678</v>
      </c>
      <c r="F105">
        <f t="shared" si="2"/>
        <v>8</v>
      </c>
      <c r="G105">
        <f t="shared" si="3"/>
        <v>2019</v>
      </c>
    </row>
    <row r="106" spans="1:7" x14ac:dyDescent="0.25">
      <c r="A106" t="s">
        <v>5</v>
      </c>
      <c r="B106" t="s">
        <v>6</v>
      </c>
      <c r="C106">
        <v>91.15</v>
      </c>
      <c r="D106">
        <v>91.266270000000006</v>
      </c>
      <c r="E106" s="1">
        <v>43709</v>
      </c>
      <c r="F106">
        <f t="shared" si="2"/>
        <v>9</v>
      </c>
      <c r="G106">
        <f t="shared" si="3"/>
        <v>2019</v>
      </c>
    </row>
    <row r="107" spans="1:7" x14ac:dyDescent="0.25">
      <c r="A107" t="s">
        <v>5</v>
      </c>
      <c r="B107" t="s">
        <v>6</v>
      </c>
      <c r="C107">
        <v>91.99</v>
      </c>
      <c r="D107">
        <v>94.293120000000002</v>
      </c>
      <c r="E107" s="1">
        <v>43739</v>
      </c>
      <c r="F107">
        <f t="shared" si="2"/>
        <v>10</v>
      </c>
      <c r="G107">
        <f t="shared" si="3"/>
        <v>2019</v>
      </c>
    </row>
    <row r="108" spans="1:7" x14ac:dyDescent="0.25">
      <c r="A108" t="s">
        <v>5</v>
      </c>
      <c r="B108" t="s">
        <v>6</v>
      </c>
      <c r="C108">
        <v>91.42</v>
      </c>
      <c r="D108">
        <v>93.185130000000001</v>
      </c>
      <c r="E108" s="1">
        <v>43770</v>
      </c>
      <c r="F108">
        <f t="shared" si="2"/>
        <v>11</v>
      </c>
      <c r="G108">
        <f t="shared" si="3"/>
        <v>2019</v>
      </c>
    </row>
    <row r="109" spans="1:7" x14ac:dyDescent="0.25">
      <c r="A109" t="s">
        <v>5</v>
      </c>
      <c r="B109" t="s">
        <v>6</v>
      </c>
      <c r="C109">
        <v>91.26</v>
      </c>
      <c r="D109">
        <v>99.249650000000003</v>
      </c>
      <c r="E109" s="1">
        <v>43800</v>
      </c>
      <c r="F109">
        <f t="shared" si="2"/>
        <v>12</v>
      </c>
      <c r="G109">
        <f t="shared" si="3"/>
        <v>2019</v>
      </c>
    </row>
    <row r="110" spans="1:7" x14ac:dyDescent="0.25">
      <c r="A110" t="s">
        <v>5</v>
      </c>
      <c r="B110" t="s">
        <v>6</v>
      </c>
      <c r="C110">
        <v>91.74</v>
      </c>
      <c r="D110">
        <v>88.520160000000004</v>
      </c>
      <c r="E110" s="1">
        <v>43831</v>
      </c>
      <c r="F110">
        <f t="shared" si="2"/>
        <v>1</v>
      </c>
      <c r="G110">
        <f t="shared" si="3"/>
        <v>2020</v>
      </c>
    </row>
    <row r="111" spans="1:7" x14ac:dyDescent="0.25">
      <c r="A111" t="s">
        <v>5</v>
      </c>
      <c r="B111" t="s">
        <v>6</v>
      </c>
      <c r="C111">
        <v>92.28</v>
      </c>
      <c r="D111">
        <v>84.613489999999999</v>
      </c>
      <c r="E111" s="1">
        <v>43862</v>
      </c>
      <c r="F111">
        <f t="shared" si="2"/>
        <v>2</v>
      </c>
      <c r="G111">
        <f t="shared" si="3"/>
        <v>2020</v>
      </c>
    </row>
    <row r="112" spans="1:7" x14ac:dyDescent="0.25">
      <c r="A112" t="s">
        <v>5</v>
      </c>
      <c r="B112" t="s">
        <v>6</v>
      </c>
      <c r="C112">
        <v>84.12</v>
      </c>
      <c r="D112">
        <v>84.583709999999996</v>
      </c>
      <c r="E112" s="1">
        <v>43891</v>
      </c>
      <c r="F112">
        <f t="shared" si="2"/>
        <v>3</v>
      </c>
      <c r="G112">
        <f t="shared" si="3"/>
        <v>2020</v>
      </c>
    </row>
    <row r="113" spans="1:7" x14ac:dyDescent="0.25">
      <c r="A113" t="s">
        <v>5</v>
      </c>
      <c r="B113" t="s">
        <v>6</v>
      </c>
      <c r="C113">
        <v>75.31</v>
      </c>
      <c r="D113">
        <v>72.049499999999995</v>
      </c>
      <c r="E113" s="1">
        <v>43922</v>
      </c>
      <c r="F113">
        <f t="shared" si="2"/>
        <v>4</v>
      </c>
      <c r="G113">
        <f t="shared" si="3"/>
        <v>2020</v>
      </c>
    </row>
    <row r="114" spans="1:7" x14ac:dyDescent="0.25">
      <c r="A114" t="s">
        <v>5</v>
      </c>
      <c r="B114" t="s">
        <v>6</v>
      </c>
      <c r="C114">
        <v>73.84</v>
      </c>
      <c r="D114">
        <v>73.056449999999998</v>
      </c>
      <c r="E114" s="1">
        <v>43952</v>
      </c>
      <c r="F114">
        <f t="shared" si="2"/>
        <v>5</v>
      </c>
      <c r="G114">
        <f t="shared" si="3"/>
        <v>2020</v>
      </c>
    </row>
    <row r="115" spans="1:7" x14ac:dyDescent="0.25">
      <c r="A115" t="s">
        <v>5</v>
      </c>
      <c r="B115" t="s">
        <v>6</v>
      </c>
      <c r="C115">
        <v>76.88</v>
      </c>
      <c r="D115">
        <v>77.002459999999999</v>
      </c>
      <c r="E115" s="1">
        <v>43983</v>
      </c>
      <c r="F115">
        <f t="shared" si="2"/>
        <v>6</v>
      </c>
      <c r="G115">
        <f t="shared" si="3"/>
        <v>2020</v>
      </c>
    </row>
    <row r="116" spans="1:7" x14ac:dyDescent="0.25">
      <c r="A116" t="s">
        <v>5</v>
      </c>
      <c r="B116" t="s">
        <v>6</v>
      </c>
      <c r="C116">
        <v>79.06</v>
      </c>
      <c r="D116">
        <v>80.352289999999996</v>
      </c>
      <c r="E116" s="1">
        <v>44013</v>
      </c>
      <c r="F116">
        <f t="shared" si="2"/>
        <v>7</v>
      </c>
      <c r="G116">
        <f t="shared" si="3"/>
        <v>2020</v>
      </c>
    </row>
    <row r="117" spans="1:7" x14ac:dyDescent="0.25">
      <c r="A117" t="s">
        <v>5</v>
      </c>
      <c r="B117" t="s">
        <v>6</v>
      </c>
      <c r="C117">
        <v>81.37</v>
      </c>
      <c r="D117">
        <v>82.156189999999995</v>
      </c>
      <c r="E117" s="1">
        <v>44044</v>
      </c>
      <c r="F117">
        <f t="shared" si="2"/>
        <v>8</v>
      </c>
      <c r="G117">
        <f t="shared" si="3"/>
        <v>2020</v>
      </c>
    </row>
    <row r="118" spans="1:7" x14ac:dyDescent="0.25">
      <c r="A118" t="s">
        <v>5</v>
      </c>
      <c r="B118" t="s">
        <v>6</v>
      </c>
      <c r="C118">
        <v>83.61</v>
      </c>
      <c r="D118">
        <v>84.876850000000005</v>
      </c>
      <c r="E118" s="1">
        <v>44075</v>
      </c>
      <c r="F118">
        <f t="shared" si="2"/>
        <v>9</v>
      </c>
      <c r="G118">
        <f t="shared" si="3"/>
        <v>2020</v>
      </c>
    </row>
    <row r="119" spans="1:7" x14ac:dyDescent="0.25">
      <c r="A119" t="s">
        <v>5</v>
      </c>
      <c r="B119" t="s">
        <v>6</v>
      </c>
      <c r="C119">
        <v>85.46</v>
      </c>
      <c r="D119">
        <v>87.340090000000004</v>
      </c>
      <c r="E119" s="1">
        <v>44105</v>
      </c>
      <c r="F119">
        <f t="shared" si="2"/>
        <v>10</v>
      </c>
      <c r="G119">
        <f t="shared" si="3"/>
        <v>2020</v>
      </c>
    </row>
    <row r="120" spans="1:7" x14ac:dyDescent="0.25">
      <c r="A120" t="s">
        <v>5</v>
      </c>
      <c r="B120" t="s">
        <v>6</v>
      </c>
      <c r="C120">
        <v>87.32</v>
      </c>
      <c r="D120">
        <v>88.545400000000001</v>
      </c>
      <c r="E120" s="1">
        <v>44136</v>
      </c>
      <c r="F120">
        <f t="shared" si="2"/>
        <v>11</v>
      </c>
      <c r="G120">
        <f t="shared" si="3"/>
        <v>2020</v>
      </c>
    </row>
    <row r="121" spans="1:7" x14ac:dyDescent="0.25">
      <c r="A121" t="s">
        <v>5</v>
      </c>
      <c r="B121" t="s">
        <v>6</v>
      </c>
      <c r="C121">
        <v>87.25</v>
      </c>
      <c r="D121">
        <v>96.178340000000006</v>
      </c>
      <c r="E121" s="1">
        <v>44166</v>
      </c>
      <c r="F121">
        <f t="shared" si="2"/>
        <v>12</v>
      </c>
      <c r="G121">
        <f t="shared" si="3"/>
        <v>2020</v>
      </c>
    </row>
    <row r="122" spans="1:7" x14ac:dyDescent="0.25">
      <c r="A122" t="s">
        <v>5</v>
      </c>
      <c r="B122" t="s">
        <v>6</v>
      </c>
      <c r="C122">
        <v>88.61</v>
      </c>
      <c r="D122">
        <v>84.063479999999998</v>
      </c>
      <c r="E122" s="1">
        <v>44197</v>
      </c>
      <c r="F122">
        <f t="shared" si="2"/>
        <v>1</v>
      </c>
      <c r="G122">
        <f t="shared" si="3"/>
        <v>2021</v>
      </c>
    </row>
    <row r="123" spans="1:7" x14ac:dyDescent="0.25">
      <c r="A123" t="s">
        <v>5</v>
      </c>
      <c r="B123" t="s">
        <v>6</v>
      </c>
      <c r="C123">
        <v>91.26</v>
      </c>
      <c r="D123">
        <v>83.053070000000005</v>
      </c>
      <c r="E123" s="1">
        <v>44228</v>
      </c>
      <c r="F123">
        <f t="shared" si="2"/>
        <v>2</v>
      </c>
      <c r="G123">
        <f t="shared" si="3"/>
        <v>2021</v>
      </c>
    </row>
    <row r="124" spans="1:7" x14ac:dyDescent="0.25">
      <c r="A124" t="s">
        <v>5</v>
      </c>
      <c r="B124" t="s">
        <v>6</v>
      </c>
      <c r="C124">
        <v>86.99</v>
      </c>
      <c r="D124">
        <v>88.466380000000001</v>
      </c>
      <c r="E124" s="1">
        <v>44256</v>
      </c>
      <c r="F124">
        <f t="shared" si="2"/>
        <v>3</v>
      </c>
      <c r="G124">
        <f t="shared" si="3"/>
        <v>2021</v>
      </c>
    </row>
    <row r="125" spans="1:7" x14ac:dyDescent="0.25">
      <c r="A125" t="s">
        <v>5</v>
      </c>
      <c r="B125" t="s">
        <v>6</v>
      </c>
      <c r="C125">
        <v>89.99</v>
      </c>
      <c r="D125">
        <v>86.555509999999998</v>
      </c>
      <c r="E125" s="1">
        <v>44287</v>
      </c>
      <c r="F125">
        <f t="shared" si="2"/>
        <v>4</v>
      </c>
      <c r="G125">
        <f t="shared" si="3"/>
        <v>2021</v>
      </c>
    </row>
    <row r="126" spans="1:7" x14ac:dyDescent="0.25">
      <c r="A126" t="s">
        <v>5</v>
      </c>
      <c r="B126" t="s">
        <v>6</v>
      </c>
      <c r="C126">
        <v>91.21</v>
      </c>
      <c r="D126">
        <v>90.054400000000001</v>
      </c>
      <c r="E126" s="1">
        <v>44317</v>
      </c>
      <c r="F126">
        <f t="shared" si="2"/>
        <v>5</v>
      </c>
      <c r="G126">
        <f t="shared" si="3"/>
        <v>2021</v>
      </c>
    </row>
    <row r="127" spans="1:7" x14ac:dyDescent="0.25">
      <c r="A127" t="s">
        <v>5</v>
      </c>
      <c r="B127" t="s">
        <v>6</v>
      </c>
      <c r="C127">
        <v>93.01</v>
      </c>
      <c r="D127">
        <v>93.248440000000002</v>
      </c>
      <c r="E127" s="1">
        <v>44348</v>
      </c>
      <c r="F127">
        <f t="shared" si="2"/>
        <v>6</v>
      </c>
      <c r="G127">
        <f t="shared" si="3"/>
        <v>2021</v>
      </c>
    </row>
    <row r="128" spans="1:7" x14ac:dyDescent="0.25">
      <c r="A128" t="s">
        <v>5</v>
      </c>
      <c r="B128" t="s">
        <v>6</v>
      </c>
      <c r="C128">
        <v>93.65</v>
      </c>
      <c r="D128">
        <v>94.650829999999999</v>
      </c>
      <c r="E128" s="1">
        <v>44378</v>
      </c>
      <c r="F128">
        <f t="shared" si="2"/>
        <v>7</v>
      </c>
      <c r="G128">
        <f t="shared" si="3"/>
        <v>2021</v>
      </c>
    </row>
    <row r="129" spans="1:7" x14ac:dyDescent="0.25">
      <c r="A129" t="s">
        <v>5</v>
      </c>
      <c r="B129" t="s">
        <v>6</v>
      </c>
      <c r="C129">
        <v>94.25</v>
      </c>
      <c r="D129">
        <v>95.771749999999997</v>
      </c>
      <c r="E129" s="1">
        <v>44409</v>
      </c>
      <c r="F129">
        <f t="shared" si="2"/>
        <v>8</v>
      </c>
      <c r="G129">
        <f t="shared" si="3"/>
        <v>2021</v>
      </c>
    </row>
    <row r="130" spans="1:7" x14ac:dyDescent="0.25">
      <c r="A130" t="s">
        <v>5</v>
      </c>
      <c r="B130" t="s">
        <v>6</v>
      </c>
      <c r="C130">
        <v>93.55</v>
      </c>
      <c r="D130">
        <v>94.659689999999998</v>
      </c>
      <c r="E130" s="1">
        <v>44440</v>
      </c>
      <c r="F130">
        <f t="shared" ref="F130:F193" si="4">MONTH(E130)</f>
        <v>9</v>
      </c>
      <c r="G130">
        <f t="shared" ref="G130:G193" si="5">YEAR(E130)</f>
        <v>2021</v>
      </c>
    </row>
    <row r="131" spans="1:7" x14ac:dyDescent="0.25">
      <c r="A131" t="s">
        <v>5</v>
      </c>
      <c r="B131" t="s">
        <v>6</v>
      </c>
      <c r="C131">
        <v>92.64</v>
      </c>
      <c r="D131">
        <v>93.723020000000005</v>
      </c>
      <c r="E131" s="1">
        <v>44470</v>
      </c>
      <c r="F131">
        <f t="shared" si="4"/>
        <v>10</v>
      </c>
      <c r="G131">
        <f t="shared" si="5"/>
        <v>2021</v>
      </c>
    </row>
    <row r="132" spans="1:7" x14ac:dyDescent="0.25">
      <c r="A132" t="s">
        <v>5</v>
      </c>
      <c r="B132" t="s">
        <v>6</v>
      </c>
      <c r="C132">
        <v>95.32</v>
      </c>
      <c r="D132">
        <v>97.597729999999999</v>
      </c>
      <c r="E132" s="1">
        <v>44501</v>
      </c>
      <c r="F132">
        <f t="shared" si="4"/>
        <v>11</v>
      </c>
      <c r="G132">
        <f t="shared" si="5"/>
        <v>2021</v>
      </c>
    </row>
    <row r="133" spans="1:7" x14ac:dyDescent="0.25">
      <c r="A133" t="s">
        <v>5</v>
      </c>
      <c r="B133" t="s">
        <v>6</v>
      </c>
      <c r="C133">
        <v>97.68</v>
      </c>
      <c r="D133">
        <v>106.68322000000001</v>
      </c>
      <c r="E133" s="1">
        <v>44531</v>
      </c>
      <c r="F133">
        <f t="shared" si="4"/>
        <v>12</v>
      </c>
      <c r="G133">
        <f t="shared" si="5"/>
        <v>2021</v>
      </c>
    </row>
    <row r="134" spans="1:7" x14ac:dyDescent="0.25">
      <c r="A134" t="s">
        <v>5</v>
      </c>
      <c r="B134" t="s">
        <v>6</v>
      </c>
      <c r="C134">
        <v>96.79</v>
      </c>
      <c r="D134">
        <v>91.924570000000003</v>
      </c>
      <c r="E134" s="1">
        <v>44562</v>
      </c>
      <c r="F134">
        <f t="shared" si="4"/>
        <v>1</v>
      </c>
      <c r="G134">
        <f t="shared" si="5"/>
        <v>2022</v>
      </c>
    </row>
    <row r="135" spans="1:7" x14ac:dyDescent="0.25">
      <c r="A135" t="s">
        <v>5</v>
      </c>
      <c r="B135" t="s">
        <v>6</v>
      </c>
      <c r="C135">
        <v>97.53</v>
      </c>
      <c r="D135">
        <v>89.202780000000004</v>
      </c>
      <c r="E135" s="1">
        <v>44593</v>
      </c>
      <c r="F135">
        <f t="shared" si="4"/>
        <v>2</v>
      </c>
      <c r="G135">
        <f t="shared" si="5"/>
        <v>2022</v>
      </c>
    </row>
    <row r="136" spans="1:7" x14ac:dyDescent="0.25">
      <c r="A136" t="s">
        <v>5</v>
      </c>
      <c r="B136" t="s">
        <v>6</v>
      </c>
      <c r="C136">
        <v>97.3</v>
      </c>
      <c r="D136">
        <v>98.697900000000004</v>
      </c>
      <c r="E136" s="1">
        <v>44621</v>
      </c>
      <c r="F136">
        <f t="shared" si="4"/>
        <v>3</v>
      </c>
      <c r="G136">
        <f t="shared" si="5"/>
        <v>2022</v>
      </c>
    </row>
    <row r="137" spans="1:7" x14ac:dyDescent="0.25">
      <c r="A137" t="s">
        <v>5</v>
      </c>
      <c r="B137" t="s">
        <v>6</v>
      </c>
      <c r="C137">
        <v>98.55</v>
      </c>
      <c r="D137">
        <v>94.672790000000006</v>
      </c>
      <c r="E137" s="1">
        <v>44652</v>
      </c>
      <c r="F137">
        <f t="shared" si="4"/>
        <v>4</v>
      </c>
      <c r="G137">
        <f t="shared" si="5"/>
        <v>2022</v>
      </c>
    </row>
    <row r="138" spans="1:7" x14ac:dyDescent="0.25">
      <c r="A138" t="s">
        <v>5</v>
      </c>
      <c r="B138" t="s">
        <v>6</v>
      </c>
      <c r="C138">
        <v>99.08</v>
      </c>
      <c r="D138">
        <v>98.228949999999998</v>
      </c>
      <c r="E138" s="1">
        <v>44682</v>
      </c>
      <c r="F138">
        <f t="shared" si="4"/>
        <v>5</v>
      </c>
      <c r="G138">
        <f t="shared" si="5"/>
        <v>2022</v>
      </c>
    </row>
    <row r="139" spans="1:7" x14ac:dyDescent="0.25">
      <c r="A139" t="s">
        <v>5</v>
      </c>
      <c r="B139" t="s">
        <v>6</v>
      </c>
      <c r="C139">
        <v>99.17</v>
      </c>
      <c r="D139">
        <v>99.225160000000002</v>
      </c>
      <c r="E139" s="1">
        <v>44713</v>
      </c>
      <c r="F139">
        <f t="shared" si="4"/>
        <v>6</v>
      </c>
      <c r="G139">
        <f t="shared" si="5"/>
        <v>2022</v>
      </c>
    </row>
    <row r="140" spans="1:7" x14ac:dyDescent="0.25">
      <c r="A140" t="s">
        <v>5</v>
      </c>
      <c r="B140" t="s">
        <v>6</v>
      </c>
      <c r="C140">
        <v>99.95</v>
      </c>
      <c r="D140">
        <v>100.58128000000001</v>
      </c>
      <c r="E140" s="1">
        <v>44743</v>
      </c>
      <c r="F140">
        <f t="shared" si="4"/>
        <v>7</v>
      </c>
      <c r="G140">
        <f t="shared" si="5"/>
        <v>2022</v>
      </c>
    </row>
    <row r="141" spans="1:7" x14ac:dyDescent="0.25">
      <c r="A141" t="s">
        <v>5</v>
      </c>
      <c r="B141" t="s">
        <v>6</v>
      </c>
      <c r="C141">
        <v>101.47</v>
      </c>
      <c r="D141">
        <v>104.10478000000001</v>
      </c>
      <c r="E141" s="1">
        <v>44774</v>
      </c>
      <c r="F141">
        <f t="shared" si="4"/>
        <v>8</v>
      </c>
      <c r="G141">
        <f t="shared" si="5"/>
        <v>2022</v>
      </c>
    </row>
    <row r="142" spans="1:7" x14ac:dyDescent="0.25">
      <c r="A142" t="s">
        <v>5</v>
      </c>
      <c r="B142" t="s">
        <v>6</v>
      </c>
      <c r="C142">
        <v>102.33</v>
      </c>
      <c r="D142">
        <v>103.55595</v>
      </c>
      <c r="E142" s="1">
        <v>44805</v>
      </c>
      <c r="F142">
        <f t="shared" si="4"/>
        <v>9</v>
      </c>
      <c r="G142">
        <f t="shared" si="5"/>
        <v>2022</v>
      </c>
    </row>
    <row r="143" spans="1:7" x14ac:dyDescent="0.25">
      <c r="A143" t="s">
        <v>5</v>
      </c>
      <c r="B143" t="s">
        <v>6</v>
      </c>
      <c r="C143">
        <v>102.02</v>
      </c>
      <c r="D143">
        <v>102.81034</v>
      </c>
      <c r="E143" s="1">
        <v>44835</v>
      </c>
      <c r="F143">
        <f t="shared" si="4"/>
        <v>10</v>
      </c>
      <c r="G143">
        <f t="shared" si="5"/>
        <v>2022</v>
      </c>
    </row>
    <row r="144" spans="1:7" x14ac:dyDescent="0.25">
      <c r="A144" t="s">
        <v>5</v>
      </c>
      <c r="B144" t="s">
        <v>6</v>
      </c>
      <c r="C144">
        <v>101.63</v>
      </c>
      <c r="D144">
        <v>103.94298000000001</v>
      </c>
      <c r="E144" s="1">
        <v>44866</v>
      </c>
      <c r="F144">
        <f t="shared" si="4"/>
        <v>11</v>
      </c>
      <c r="G144">
        <f t="shared" si="5"/>
        <v>2022</v>
      </c>
    </row>
    <row r="145" spans="1:7" x14ac:dyDescent="0.25">
      <c r="A145" t="s">
        <v>5</v>
      </c>
      <c r="B145" t="s">
        <v>6</v>
      </c>
      <c r="C145">
        <v>104.47</v>
      </c>
      <c r="D145">
        <v>113.05252</v>
      </c>
      <c r="E145" s="1">
        <v>44896</v>
      </c>
      <c r="F145">
        <f t="shared" si="4"/>
        <v>12</v>
      </c>
      <c r="G145">
        <f t="shared" si="5"/>
        <v>2022</v>
      </c>
    </row>
    <row r="146" spans="1:7" x14ac:dyDescent="0.25">
      <c r="A146" t="s">
        <v>5</v>
      </c>
      <c r="B146" t="s">
        <v>6</v>
      </c>
      <c r="C146">
        <v>101.13</v>
      </c>
      <c r="D146">
        <v>96.638149999999996</v>
      </c>
      <c r="E146" s="1">
        <v>44927</v>
      </c>
      <c r="F146">
        <f t="shared" si="4"/>
        <v>1</v>
      </c>
      <c r="G146">
        <f t="shared" si="5"/>
        <v>2023</v>
      </c>
    </row>
    <row r="147" spans="1:7" x14ac:dyDescent="0.25">
      <c r="A147" t="s">
        <v>5</v>
      </c>
      <c r="B147" t="s">
        <v>6</v>
      </c>
      <c r="C147">
        <v>101.8</v>
      </c>
      <c r="D147">
        <v>93.402439999999999</v>
      </c>
      <c r="E147" s="1">
        <v>44958</v>
      </c>
      <c r="F147">
        <f t="shared" si="4"/>
        <v>2</v>
      </c>
      <c r="G147">
        <f t="shared" si="5"/>
        <v>2023</v>
      </c>
    </row>
    <row r="148" spans="1:7" x14ac:dyDescent="0.25">
      <c r="A148" t="s">
        <v>5</v>
      </c>
      <c r="B148" t="s">
        <v>6</v>
      </c>
      <c r="C148">
        <v>103.63</v>
      </c>
      <c r="D148">
        <v>105.08354</v>
      </c>
      <c r="E148" s="1">
        <v>44986</v>
      </c>
      <c r="F148">
        <f t="shared" si="4"/>
        <v>3</v>
      </c>
      <c r="G148">
        <f t="shared" si="5"/>
        <v>2023</v>
      </c>
    </row>
    <row r="149" spans="1:7" x14ac:dyDescent="0.25">
      <c r="A149" t="s">
        <v>5</v>
      </c>
      <c r="B149" t="s">
        <v>6</v>
      </c>
      <c r="C149">
        <v>102.25</v>
      </c>
      <c r="D149">
        <v>97.248140000000006</v>
      </c>
      <c r="E149" s="1">
        <v>45017</v>
      </c>
      <c r="F149">
        <f t="shared" si="4"/>
        <v>4</v>
      </c>
      <c r="G149">
        <f t="shared" si="5"/>
        <v>2023</v>
      </c>
    </row>
    <row r="150" spans="1:7" x14ac:dyDescent="0.25">
      <c r="A150" t="s">
        <v>5</v>
      </c>
      <c r="B150" t="s">
        <v>6</v>
      </c>
      <c r="C150">
        <v>103.29</v>
      </c>
      <c r="D150">
        <v>103.26822</v>
      </c>
      <c r="E150" s="1">
        <v>45047</v>
      </c>
      <c r="F150">
        <f t="shared" si="4"/>
        <v>5</v>
      </c>
      <c r="G150">
        <f t="shared" si="5"/>
        <v>2023</v>
      </c>
    </row>
    <row r="151" spans="1:7" x14ac:dyDescent="0.25">
      <c r="A151" t="s">
        <v>5</v>
      </c>
      <c r="B151" t="s">
        <v>6</v>
      </c>
      <c r="C151">
        <v>103.17</v>
      </c>
      <c r="D151">
        <v>103.44944</v>
      </c>
      <c r="E151" s="1">
        <v>45078</v>
      </c>
      <c r="F151">
        <f t="shared" si="4"/>
        <v>6</v>
      </c>
      <c r="G151">
        <f t="shared" si="5"/>
        <v>2023</v>
      </c>
    </row>
    <row r="152" spans="1:7" x14ac:dyDescent="0.25">
      <c r="A152" t="s">
        <v>5</v>
      </c>
      <c r="B152" t="s">
        <v>6</v>
      </c>
      <c r="C152">
        <v>103.73</v>
      </c>
      <c r="D152">
        <v>104.40512</v>
      </c>
      <c r="E152" s="1">
        <v>45108</v>
      </c>
      <c r="F152">
        <f t="shared" si="4"/>
        <v>7</v>
      </c>
      <c r="G152">
        <f t="shared" si="5"/>
        <v>2023</v>
      </c>
    </row>
    <row r="153" spans="1:7" x14ac:dyDescent="0.25">
      <c r="A153" t="s">
        <v>5</v>
      </c>
      <c r="B153" t="s">
        <v>6</v>
      </c>
      <c r="C153">
        <v>103.42</v>
      </c>
      <c r="D153">
        <v>105.996</v>
      </c>
      <c r="E153" s="1">
        <v>45139</v>
      </c>
      <c r="F153">
        <f t="shared" si="4"/>
        <v>8</v>
      </c>
      <c r="G153">
        <f t="shared" si="5"/>
        <v>2023</v>
      </c>
    </row>
    <row r="154" spans="1:7" x14ac:dyDescent="0.25">
      <c r="A154" t="s">
        <v>5</v>
      </c>
      <c r="B154" t="s">
        <v>6</v>
      </c>
      <c r="C154">
        <v>102.55</v>
      </c>
      <c r="D154">
        <v>103.64494000000001</v>
      </c>
      <c r="E154" s="1">
        <v>45170</v>
      </c>
      <c r="F154">
        <f t="shared" si="4"/>
        <v>9</v>
      </c>
      <c r="G154">
        <f t="shared" si="5"/>
        <v>2023</v>
      </c>
    </row>
    <row r="155" spans="1:7" x14ac:dyDescent="0.25">
      <c r="A155" t="s">
        <v>5</v>
      </c>
      <c r="B155" t="s">
        <v>6</v>
      </c>
      <c r="C155">
        <v>102.6</v>
      </c>
      <c r="D155">
        <v>103.82361</v>
      </c>
      <c r="E155" s="1">
        <v>45200</v>
      </c>
      <c r="F155">
        <f t="shared" si="4"/>
        <v>10</v>
      </c>
      <c r="G155">
        <f t="shared" si="5"/>
        <v>2023</v>
      </c>
    </row>
    <row r="156" spans="1:7" x14ac:dyDescent="0.25">
      <c r="A156" t="s">
        <v>5</v>
      </c>
      <c r="B156" t="s">
        <v>6</v>
      </c>
      <c r="C156">
        <v>103.85</v>
      </c>
      <c r="D156">
        <v>105.74193</v>
      </c>
      <c r="E156" s="1">
        <v>45231</v>
      </c>
      <c r="F156">
        <f t="shared" si="4"/>
        <v>11</v>
      </c>
      <c r="G156">
        <f t="shared" si="5"/>
        <v>2023</v>
      </c>
    </row>
    <row r="157" spans="1:7" x14ac:dyDescent="0.25">
      <c r="A157" t="s">
        <v>5</v>
      </c>
      <c r="B157" t="s">
        <v>6</v>
      </c>
      <c r="C157">
        <v>104.24</v>
      </c>
      <c r="D157">
        <v>112.19132</v>
      </c>
      <c r="E157" s="1">
        <v>45261</v>
      </c>
      <c r="F157">
        <f t="shared" si="4"/>
        <v>12</v>
      </c>
      <c r="G157">
        <f t="shared" si="5"/>
        <v>2023</v>
      </c>
    </row>
    <row r="158" spans="1:7" x14ac:dyDescent="0.25">
      <c r="A158" t="s">
        <v>5</v>
      </c>
      <c r="B158" t="s">
        <v>6</v>
      </c>
      <c r="C158">
        <v>105.3</v>
      </c>
      <c r="D158">
        <v>101.59945999999999</v>
      </c>
      <c r="E158" s="1">
        <v>45292</v>
      </c>
      <c r="F158">
        <f t="shared" si="4"/>
        <v>1</v>
      </c>
      <c r="G158">
        <f t="shared" si="5"/>
        <v>2024</v>
      </c>
    </row>
    <row r="159" spans="1:7" x14ac:dyDescent="0.25">
      <c r="A159" t="s">
        <v>5</v>
      </c>
      <c r="B159" t="s">
        <v>6</v>
      </c>
      <c r="C159">
        <v>104.79</v>
      </c>
      <c r="D159">
        <v>96.957899999999995</v>
      </c>
      <c r="E159" s="1">
        <v>45323</v>
      </c>
      <c r="F159">
        <f t="shared" si="4"/>
        <v>2</v>
      </c>
      <c r="G159">
        <f t="shared" si="5"/>
        <v>2024</v>
      </c>
    </row>
    <row r="160" spans="1:7" x14ac:dyDescent="0.25">
      <c r="A160" t="s">
        <v>5</v>
      </c>
      <c r="B160" t="s">
        <v>6</v>
      </c>
      <c r="C160">
        <v>105.11</v>
      </c>
      <c r="D160">
        <v>104.05418</v>
      </c>
      <c r="E160" s="1">
        <v>45352</v>
      </c>
      <c r="F160">
        <f t="shared" si="4"/>
        <v>3</v>
      </c>
      <c r="G160">
        <f t="shared" si="5"/>
        <v>2024</v>
      </c>
    </row>
    <row r="161" spans="1:7" x14ac:dyDescent="0.25">
      <c r="A161" t="s">
        <v>5</v>
      </c>
      <c r="B161" t="s">
        <v>6</v>
      </c>
      <c r="C161">
        <v>105.42</v>
      </c>
      <c r="D161">
        <v>103.14603</v>
      </c>
      <c r="E161" s="1">
        <v>45383</v>
      </c>
      <c r="F161">
        <f t="shared" si="4"/>
        <v>4</v>
      </c>
      <c r="G161">
        <f t="shared" si="5"/>
        <v>2024</v>
      </c>
    </row>
    <row r="162" spans="1:7" x14ac:dyDescent="0.25">
      <c r="A162" t="s">
        <v>5</v>
      </c>
      <c r="B162" t="s">
        <v>6</v>
      </c>
      <c r="C162">
        <v>104.65</v>
      </c>
      <c r="D162">
        <v>104.16661999999999</v>
      </c>
      <c r="E162" s="1">
        <v>45413</v>
      </c>
      <c r="F162">
        <f t="shared" si="4"/>
        <v>5</v>
      </c>
      <c r="G162">
        <f t="shared" si="5"/>
        <v>2024</v>
      </c>
    </row>
    <row r="163" spans="1:7" x14ac:dyDescent="0.25">
      <c r="A163" t="s">
        <v>5</v>
      </c>
      <c r="B163" t="s">
        <v>6</v>
      </c>
      <c r="C163">
        <v>106.03</v>
      </c>
      <c r="D163">
        <v>105.41407</v>
      </c>
      <c r="E163" s="1">
        <v>45444</v>
      </c>
      <c r="F163">
        <f t="shared" si="4"/>
        <v>6</v>
      </c>
      <c r="G163">
        <f t="shared" si="5"/>
        <v>2024</v>
      </c>
    </row>
    <row r="164" spans="1:7" x14ac:dyDescent="0.25">
      <c r="A164" t="s">
        <v>5</v>
      </c>
      <c r="B164" t="s">
        <v>6</v>
      </c>
      <c r="C164">
        <v>106.15</v>
      </c>
      <c r="D164">
        <v>108.54947</v>
      </c>
      <c r="E164" s="1">
        <v>45474</v>
      </c>
      <c r="F164">
        <f t="shared" si="4"/>
        <v>7</v>
      </c>
      <c r="G164">
        <f t="shared" si="5"/>
        <v>2024</v>
      </c>
    </row>
    <row r="165" spans="1:7" x14ac:dyDescent="0.25">
      <c r="A165" t="s">
        <v>5</v>
      </c>
      <c r="B165" t="s">
        <v>6</v>
      </c>
      <c r="C165">
        <v>105.85</v>
      </c>
      <c r="D165">
        <v>107.94947000000001</v>
      </c>
      <c r="E165" s="1">
        <v>45505</v>
      </c>
      <c r="F165">
        <f t="shared" si="4"/>
        <v>8</v>
      </c>
      <c r="G165">
        <f t="shared" si="5"/>
        <v>2024</v>
      </c>
    </row>
    <row r="166" spans="1:7" x14ac:dyDescent="0.25">
      <c r="A166" t="s">
        <v>5</v>
      </c>
      <c r="B166" t="s">
        <v>6</v>
      </c>
      <c r="C166">
        <v>107.12</v>
      </c>
      <c r="D166">
        <v>107.58808999999999</v>
      </c>
      <c r="E166" s="1">
        <v>45536</v>
      </c>
      <c r="F166">
        <f t="shared" si="4"/>
        <v>9</v>
      </c>
      <c r="G166">
        <f t="shared" si="5"/>
        <v>2024</v>
      </c>
    </row>
    <row r="167" spans="1:7" x14ac:dyDescent="0.25">
      <c r="A167" t="s">
        <v>5</v>
      </c>
      <c r="B167" t="s">
        <v>6</v>
      </c>
      <c r="C167">
        <v>108.43</v>
      </c>
      <c r="D167">
        <v>110.41131</v>
      </c>
      <c r="E167" s="1">
        <v>45566</v>
      </c>
      <c r="F167">
        <f t="shared" si="4"/>
        <v>10</v>
      </c>
      <c r="G167">
        <f t="shared" si="5"/>
        <v>2024</v>
      </c>
    </row>
    <row r="168" spans="1:7" x14ac:dyDescent="0.25">
      <c r="A168" t="s">
        <v>5</v>
      </c>
      <c r="B168" t="s">
        <v>6</v>
      </c>
      <c r="C168">
        <v>106.81</v>
      </c>
      <c r="D168">
        <v>108.43105</v>
      </c>
      <c r="E168" s="1">
        <v>45597</v>
      </c>
      <c r="F168">
        <f t="shared" si="4"/>
        <v>11</v>
      </c>
      <c r="G168">
        <f t="shared" si="5"/>
        <v>2024</v>
      </c>
    </row>
    <row r="169" spans="1:7" x14ac:dyDescent="0.25">
      <c r="A169" t="s">
        <v>5</v>
      </c>
      <c r="B169" t="s">
        <v>6</v>
      </c>
      <c r="C169">
        <v>107.03</v>
      </c>
      <c r="D169">
        <v>115.38782999999999</v>
      </c>
      <c r="E169" s="1">
        <v>45627</v>
      </c>
      <c r="F169">
        <f t="shared" si="4"/>
        <v>12</v>
      </c>
      <c r="G169">
        <f t="shared" si="5"/>
        <v>2024</v>
      </c>
    </row>
    <row r="170" spans="1:7" x14ac:dyDescent="0.25">
      <c r="A170" t="s">
        <v>5</v>
      </c>
      <c r="B170" t="s">
        <v>6</v>
      </c>
      <c r="C170">
        <v>106.58</v>
      </c>
      <c r="D170">
        <v>102.67429</v>
      </c>
      <c r="E170" s="1">
        <v>45658</v>
      </c>
      <c r="F170">
        <f t="shared" si="4"/>
        <v>1</v>
      </c>
      <c r="G170">
        <f t="shared" si="5"/>
        <v>2025</v>
      </c>
    </row>
    <row r="171" spans="1:7" x14ac:dyDescent="0.25">
      <c r="A171" t="s">
        <v>5</v>
      </c>
      <c r="B171" t="s">
        <v>6</v>
      </c>
      <c r="C171">
        <v>107.7</v>
      </c>
      <c r="D171">
        <v>101.13556</v>
      </c>
      <c r="E171" s="1">
        <v>45689</v>
      </c>
      <c r="F171">
        <f t="shared" si="4"/>
        <v>2</v>
      </c>
      <c r="G171">
        <f t="shared" si="5"/>
        <v>2025</v>
      </c>
    </row>
    <row r="172" spans="1:7" x14ac:dyDescent="0.25">
      <c r="A172" t="s">
        <v>5</v>
      </c>
      <c r="B172" t="s">
        <v>6</v>
      </c>
      <c r="C172">
        <v>107.75</v>
      </c>
      <c r="D172">
        <v>105.88565</v>
      </c>
      <c r="E172" s="1">
        <v>45717</v>
      </c>
      <c r="F172">
        <f t="shared" si="4"/>
        <v>3</v>
      </c>
      <c r="G172">
        <f t="shared" si="5"/>
        <v>2025</v>
      </c>
    </row>
    <row r="173" spans="1:7" x14ac:dyDescent="0.25">
      <c r="A173" t="s">
        <v>5</v>
      </c>
      <c r="B173" t="s">
        <v>6</v>
      </c>
      <c r="C173">
        <v>108.46</v>
      </c>
      <c r="D173">
        <v>105.00353</v>
      </c>
      <c r="E173" s="1">
        <v>45748</v>
      </c>
      <c r="F173">
        <f t="shared" si="4"/>
        <v>4</v>
      </c>
      <c r="G173">
        <f t="shared" si="5"/>
        <v>2025</v>
      </c>
    </row>
    <row r="174" spans="1:7" x14ac:dyDescent="0.25">
      <c r="A174" t="s">
        <v>5</v>
      </c>
      <c r="B174" t="s">
        <v>6</v>
      </c>
      <c r="C174">
        <v>108.92</v>
      </c>
      <c r="D174">
        <v>108.24518</v>
      </c>
      <c r="E174" s="1">
        <v>45778</v>
      </c>
      <c r="F174">
        <f t="shared" si="4"/>
        <v>5</v>
      </c>
      <c r="G174">
        <f t="shared" si="5"/>
        <v>2025</v>
      </c>
    </row>
    <row r="175" spans="1:7" x14ac:dyDescent="0.25">
      <c r="A175" t="s">
        <v>5</v>
      </c>
      <c r="B175" t="s">
        <v>6</v>
      </c>
      <c r="C175">
        <v>109.07</v>
      </c>
      <c r="D175">
        <v>108.61254</v>
      </c>
      <c r="E175" s="1">
        <v>45809</v>
      </c>
      <c r="F175">
        <f t="shared" si="4"/>
        <v>6</v>
      </c>
      <c r="G175">
        <f t="shared" si="5"/>
        <v>2025</v>
      </c>
    </row>
    <row r="176" spans="1:7" x14ac:dyDescent="0.25">
      <c r="A176" t="s">
        <v>5</v>
      </c>
      <c r="B176" t="s">
        <v>6</v>
      </c>
      <c r="C176">
        <v>109.32</v>
      </c>
      <c r="D176">
        <v>111.64846</v>
      </c>
      <c r="E176" s="1">
        <v>45839</v>
      </c>
      <c r="F176">
        <f t="shared" si="4"/>
        <v>7</v>
      </c>
      <c r="G176">
        <f t="shared" si="5"/>
        <v>2025</v>
      </c>
    </row>
    <row r="177" spans="1:7" x14ac:dyDescent="0.25">
      <c r="A177" t="s">
        <v>5</v>
      </c>
      <c r="B177" t="s">
        <v>6</v>
      </c>
      <c r="C177">
        <v>109.33</v>
      </c>
      <c r="D177">
        <v>110.62871</v>
      </c>
      <c r="E177" s="1">
        <v>45870</v>
      </c>
      <c r="F177">
        <f t="shared" si="4"/>
        <v>8</v>
      </c>
      <c r="G177">
        <f t="shared" si="5"/>
        <v>2025</v>
      </c>
    </row>
    <row r="178" spans="1:7" x14ac:dyDescent="0.25">
      <c r="A178" t="s">
        <v>5</v>
      </c>
      <c r="B178" t="s">
        <v>7</v>
      </c>
      <c r="C178">
        <v>111.4</v>
      </c>
      <c r="D178">
        <v>118.09254</v>
      </c>
      <c r="E178" s="1">
        <v>40544</v>
      </c>
      <c r="F178">
        <f t="shared" si="4"/>
        <v>1</v>
      </c>
      <c r="G178">
        <f t="shared" si="5"/>
        <v>2011</v>
      </c>
    </row>
    <row r="179" spans="1:7" x14ac:dyDescent="0.25">
      <c r="A179" t="s">
        <v>5</v>
      </c>
      <c r="B179" t="s">
        <v>7</v>
      </c>
      <c r="C179">
        <v>113.26</v>
      </c>
      <c r="D179">
        <v>103.19315</v>
      </c>
      <c r="E179" s="1">
        <v>40575</v>
      </c>
      <c r="F179">
        <f t="shared" si="4"/>
        <v>2</v>
      </c>
      <c r="G179">
        <f t="shared" si="5"/>
        <v>2011</v>
      </c>
    </row>
    <row r="180" spans="1:7" x14ac:dyDescent="0.25">
      <c r="A180" t="s">
        <v>5</v>
      </c>
      <c r="B180" t="s">
        <v>7</v>
      </c>
      <c r="C180">
        <v>114.79</v>
      </c>
      <c r="D180">
        <v>113.71661</v>
      </c>
      <c r="E180" s="1">
        <v>40603</v>
      </c>
      <c r="F180">
        <f t="shared" si="4"/>
        <v>3</v>
      </c>
      <c r="G180">
        <f t="shared" si="5"/>
        <v>2011</v>
      </c>
    </row>
    <row r="181" spans="1:7" x14ac:dyDescent="0.25">
      <c r="A181" t="s">
        <v>5</v>
      </c>
      <c r="B181" t="s">
        <v>7</v>
      </c>
      <c r="C181">
        <v>116.08</v>
      </c>
      <c r="D181">
        <v>113.32889</v>
      </c>
      <c r="E181" s="1">
        <v>40634</v>
      </c>
      <c r="F181">
        <f t="shared" si="4"/>
        <v>4</v>
      </c>
      <c r="G181">
        <f t="shared" si="5"/>
        <v>2011</v>
      </c>
    </row>
    <row r="182" spans="1:7" x14ac:dyDescent="0.25">
      <c r="A182" t="s">
        <v>5</v>
      </c>
      <c r="B182" t="s">
        <v>7</v>
      </c>
      <c r="C182">
        <v>115.56</v>
      </c>
      <c r="D182">
        <v>110.48551999999999</v>
      </c>
      <c r="E182" s="1">
        <v>40664</v>
      </c>
      <c r="F182">
        <f t="shared" si="4"/>
        <v>5</v>
      </c>
      <c r="G182">
        <f t="shared" si="5"/>
        <v>2011</v>
      </c>
    </row>
    <row r="183" spans="1:7" x14ac:dyDescent="0.25">
      <c r="A183" t="s">
        <v>5</v>
      </c>
      <c r="B183" t="s">
        <v>7</v>
      </c>
      <c r="C183">
        <v>117.78</v>
      </c>
      <c r="D183">
        <v>110.05206</v>
      </c>
      <c r="E183" s="1">
        <v>40695</v>
      </c>
      <c r="F183">
        <f t="shared" si="4"/>
        <v>6</v>
      </c>
      <c r="G183">
        <f t="shared" si="5"/>
        <v>2011</v>
      </c>
    </row>
    <row r="184" spans="1:7" x14ac:dyDescent="0.25">
      <c r="A184" t="s">
        <v>5</v>
      </c>
      <c r="B184" t="s">
        <v>7</v>
      </c>
      <c r="C184">
        <v>117.8</v>
      </c>
      <c r="D184">
        <v>119.31916</v>
      </c>
      <c r="E184" s="1">
        <v>40725</v>
      </c>
      <c r="F184">
        <f t="shared" si="4"/>
        <v>7</v>
      </c>
      <c r="G184">
        <f t="shared" si="5"/>
        <v>2011</v>
      </c>
    </row>
    <row r="185" spans="1:7" x14ac:dyDescent="0.25">
      <c r="A185" t="s">
        <v>5</v>
      </c>
      <c r="B185" t="s">
        <v>7</v>
      </c>
      <c r="C185">
        <v>115.66</v>
      </c>
      <c r="D185">
        <v>114.75471</v>
      </c>
      <c r="E185" s="1">
        <v>40756</v>
      </c>
      <c r="F185">
        <f t="shared" si="4"/>
        <v>8</v>
      </c>
      <c r="G185">
        <f t="shared" si="5"/>
        <v>2011</v>
      </c>
    </row>
    <row r="186" spans="1:7" x14ac:dyDescent="0.25">
      <c r="A186" t="s">
        <v>5</v>
      </c>
      <c r="B186" t="s">
        <v>7</v>
      </c>
      <c r="C186">
        <v>115.52</v>
      </c>
      <c r="D186">
        <v>112.59452</v>
      </c>
      <c r="E186" s="1">
        <v>40787</v>
      </c>
      <c r="F186">
        <f t="shared" si="4"/>
        <v>9</v>
      </c>
      <c r="G186">
        <f t="shared" si="5"/>
        <v>2011</v>
      </c>
    </row>
    <row r="187" spans="1:7" x14ac:dyDescent="0.25">
      <c r="A187" t="s">
        <v>5</v>
      </c>
      <c r="B187" t="s">
        <v>7</v>
      </c>
      <c r="C187">
        <v>115.29</v>
      </c>
      <c r="D187">
        <v>117.78819</v>
      </c>
      <c r="E187" s="1">
        <v>40817</v>
      </c>
      <c r="F187">
        <f t="shared" si="4"/>
        <v>10</v>
      </c>
      <c r="G187">
        <f t="shared" si="5"/>
        <v>2011</v>
      </c>
    </row>
    <row r="188" spans="1:7" x14ac:dyDescent="0.25">
      <c r="A188" t="s">
        <v>5</v>
      </c>
      <c r="B188" t="s">
        <v>7</v>
      </c>
      <c r="C188">
        <v>118.87</v>
      </c>
      <c r="D188">
        <v>121.36412</v>
      </c>
      <c r="E188" s="1">
        <v>40848</v>
      </c>
      <c r="F188">
        <f t="shared" si="4"/>
        <v>11</v>
      </c>
      <c r="G188">
        <f t="shared" si="5"/>
        <v>2011</v>
      </c>
    </row>
    <row r="189" spans="1:7" x14ac:dyDescent="0.25">
      <c r="A189" t="s">
        <v>5</v>
      </c>
      <c r="B189" t="s">
        <v>7</v>
      </c>
      <c r="C189">
        <v>114.16</v>
      </c>
      <c r="D189">
        <v>130.85341</v>
      </c>
      <c r="E189" s="1">
        <v>40878</v>
      </c>
      <c r="F189">
        <f t="shared" si="4"/>
        <v>12</v>
      </c>
      <c r="G189">
        <f t="shared" si="5"/>
        <v>2011</v>
      </c>
    </row>
    <row r="190" spans="1:7" x14ac:dyDescent="0.25">
      <c r="A190" t="s">
        <v>5</v>
      </c>
      <c r="B190" t="s">
        <v>7</v>
      </c>
      <c r="C190">
        <v>115.49</v>
      </c>
      <c r="D190">
        <v>122.11736000000001</v>
      </c>
      <c r="E190" s="1">
        <v>40909</v>
      </c>
      <c r="F190">
        <f t="shared" si="4"/>
        <v>1</v>
      </c>
      <c r="G190">
        <f t="shared" si="5"/>
        <v>2012</v>
      </c>
    </row>
    <row r="191" spans="1:7" x14ac:dyDescent="0.25">
      <c r="A191" t="s">
        <v>5</v>
      </c>
      <c r="B191" t="s">
        <v>7</v>
      </c>
      <c r="C191">
        <v>114.23</v>
      </c>
      <c r="D191">
        <v>107.70578999999999</v>
      </c>
      <c r="E191" s="1">
        <v>40940</v>
      </c>
      <c r="F191">
        <f t="shared" si="4"/>
        <v>2</v>
      </c>
      <c r="G191">
        <f t="shared" si="5"/>
        <v>2012</v>
      </c>
    </row>
    <row r="192" spans="1:7" x14ac:dyDescent="0.25">
      <c r="A192" t="s">
        <v>5</v>
      </c>
      <c r="B192" t="s">
        <v>7</v>
      </c>
      <c r="C192">
        <v>116.33</v>
      </c>
      <c r="D192">
        <v>115.69252</v>
      </c>
      <c r="E192" s="1">
        <v>40969</v>
      </c>
      <c r="F192">
        <f t="shared" si="4"/>
        <v>3</v>
      </c>
      <c r="G192">
        <f t="shared" si="5"/>
        <v>2012</v>
      </c>
    </row>
    <row r="193" spans="1:7" x14ac:dyDescent="0.25">
      <c r="A193" t="s">
        <v>5</v>
      </c>
      <c r="B193" t="s">
        <v>7</v>
      </c>
      <c r="C193">
        <v>115.02</v>
      </c>
      <c r="D193">
        <v>110.80206</v>
      </c>
      <c r="E193" s="1">
        <v>41000</v>
      </c>
      <c r="F193">
        <f t="shared" si="4"/>
        <v>4</v>
      </c>
      <c r="G193">
        <f t="shared" si="5"/>
        <v>2012</v>
      </c>
    </row>
    <row r="194" spans="1:7" x14ac:dyDescent="0.25">
      <c r="A194" t="s">
        <v>5</v>
      </c>
      <c r="B194" t="s">
        <v>7</v>
      </c>
      <c r="C194">
        <v>117.7</v>
      </c>
      <c r="D194">
        <v>111.66576000000001</v>
      </c>
      <c r="E194" s="1">
        <v>41030</v>
      </c>
      <c r="F194">
        <f t="shared" ref="F194:F257" si="6">MONTH(E194)</f>
        <v>5</v>
      </c>
      <c r="G194">
        <f t="shared" ref="G194:G257" si="7">YEAR(E194)</f>
        <v>2012</v>
      </c>
    </row>
    <row r="195" spans="1:7" x14ac:dyDescent="0.25">
      <c r="A195" t="s">
        <v>5</v>
      </c>
      <c r="B195" t="s">
        <v>7</v>
      </c>
      <c r="C195">
        <v>116.87</v>
      </c>
      <c r="D195">
        <v>111.36542</v>
      </c>
      <c r="E195" s="1">
        <v>41061</v>
      </c>
      <c r="F195">
        <f t="shared" si="6"/>
        <v>6</v>
      </c>
      <c r="G195">
        <f t="shared" si="7"/>
        <v>2012</v>
      </c>
    </row>
    <row r="196" spans="1:7" x14ac:dyDescent="0.25">
      <c r="A196" t="s">
        <v>5</v>
      </c>
      <c r="B196" t="s">
        <v>7</v>
      </c>
      <c r="C196">
        <v>115.17</v>
      </c>
      <c r="D196">
        <v>115.40539</v>
      </c>
      <c r="E196" s="1">
        <v>41091</v>
      </c>
      <c r="F196">
        <f t="shared" si="6"/>
        <v>7</v>
      </c>
      <c r="G196">
        <f t="shared" si="7"/>
        <v>2012</v>
      </c>
    </row>
    <row r="197" spans="1:7" x14ac:dyDescent="0.25">
      <c r="A197" t="s">
        <v>5</v>
      </c>
      <c r="B197" t="s">
        <v>7</v>
      </c>
      <c r="C197">
        <v>116.99</v>
      </c>
      <c r="D197">
        <v>116.35603999999999</v>
      </c>
      <c r="E197" s="1">
        <v>41122</v>
      </c>
      <c r="F197">
        <f t="shared" si="6"/>
        <v>8</v>
      </c>
      <c r="G197">
        <f t="shared" si="7"/>
        <v>2012</v>
      </c>
    </row>
    <row r="198" spans="1:7" x14ac:dyDescent="0.25">
      <c r="A198" t="s">
        <v>5</v>
      </c>
      <c r="B198" t="s">
        <v>7</v>
      </c>
      <c r="C198">
        <v>118.21</v>
      </c>
      <c r="D198">
        <v>114.55901</v>
      </c>
      <c r="E198" s="1">
        <v>41153</v>
      </c>
      <c r="F198">
        <f t="shared" si="6"/>
        <v>9</v>
      </c>
      <c r="G198">
        <f t="shared" si="7"/>
        <v>2012</v>
      </c>
    </row>
    <row r="199" spans="1:7" x14ac:dyDescent="0.25">
      <c r="A199" t="s">
        <v>5</v>
      </c>
      <c r="B199" t="s">
        <v>7</v>
      </c>
      <c r="C199">
        <v>115.99</v>
      </c>
      <c r="D199">
        <v>118.16656999999999</v>
      </c>
      <c r="E199" s="1">
        <v>41183</v>
      </c>
      <c r="F199">
        <f t="shared" si="6"/>
        <v>10</v>
      </c>
      <c r="G199">
        <f t="shared" si="7"/>
        <v>2012</v>
      </c>
    </row>
    <row r="200" spans="1:7" x14ac:dyDescent="0.25">
      <c r="A200" t="s">
        <v>5</v>
      </c>
      <c r="B200" t="s">
        <v>7</v>
      </c>
      <c r="C200">
        <v>118.7</v>
      </c>
      <c r="D200">
        <v>121.80072</v>
      </c>
      <c r="E200" s="1">
        <v>41214</v>
      </c>
      <c r="F200">
        <f t="shared" si="6"/>
        <v>11</v>
      </c>
      <c r="G200">
        <f t="shared" si="7"/>
        <v>2012</v>
      </c>
    </row>
    <row r="201" spans="1:7" x14ac:dyDescent="0.25">
      <c r="A201" t="s">
        <v>5</v>
      </c>
      <c r="B201" t="s">
        <v>7</v>
      </c>
      <c r="C201">
        <v>117.27</v>
      </c>
      <c r="D201">
        <v>133.37487999999999</v>
      </c>
      <c r="E201" s="1">
        <v>41244</v>
      </c>
      <c r="F201">
        <f t="shared" si="6"/>
        <v>12</v>
      </c>
      <c r="G201">
        <f t="shared" si="7"/>
        <v>2012</v>
      </c>
    </row>
    <row r="202" spans="1:7" x14ac:dyDescent="0.25">
      <c r="A202" t="s">
        <v>5</v>
      </c>
      <c r="B202" t="s">
        <v>7</v>
      </c>
      <c r="C202">
        <v>115.24</v>
      </c>
      <c r="D202">
        <v>121.75472000000001</v>
      </c>
      <c r="E202" s="1">
        <v>41275</v>
      </c>
      <c r="F202">
        <f t="shared" si="6"/>
        <v>1</v>
      </c>
      <c r="G202">
        <f t="shared" si="7"/>
        <v>2013</v>
      </c>
    </row>
    <row r="203" spans="1:7" x14ac:dyDescent="0.25">
      <c r="A203" t="s">
        <v>5</v>
      </c>
      <c r="B203" t="s">
        <v>7</v>
      </c>
      <c r="C203">
        <v>113.41</v>
      </c>
      <c r="D203">
        <v>105.36019</v>
      </c>
      <c r="E203" s="1">
        <v>41306</v>
      </c>
      <c r="F203">
        <f t="shared" si="6"/>
        <v>2</v>
      </c>
      <c r="G203">
        <f t="shared" si="7"/>
        <v>2013</v>
      </c>
    </row>
    <row r="204" spans="1:7" x14ac:dyDescent="0.25">
      <c r="A204" t="s">
        <v>5</v>
      </c>
      <c r="B204" t="s">
        <v>7</v>
      </c>
      <c r="C204">
        <v>116.2</v>
      </c>
      <c r="D204">
        <v>116.63112</v>
      </c>
      <c r="E204" s="1">
        <v>41334</v>
      </c>
      <c r="F204">
        <f t="shared" si="6"/>
        <v>3</v>
      </c>
      <c r="G204">
        <f t="shared" si="7"/>
        <v>2013</v>
      </c>
    </row>
    <row r="205" spans="1:7" x14ac:dyDescent="0.25">
      <c r="A205" t="s">
        <v>5</v>
      </c>
      <c r="B205" t="s">
        <v>7</v>
      </c>
      <c r="C205">
        <v>117.15</v>
      </c>
      <c r="D205">
        <v>112.29174999999999</v>
      </c>
      <c r="E205" s="1">
        <v>41365</v>
      </c>
      <c r="F205">
        <f t="shared" si="6"/>
        <v>4</v>
      </c>
      <c r="G205">
        <f t="shared" si="7"/>
        <v>2013</v>
      </c>
    </row>
    <row r="206" spans="1:7" x14ac:dyDescent="0.25">
      <c r="A206" t="s">
        <v>5</v>
      </c>
      <c r="B206" t="s">
        <v>7</v>
      </c>
      <c r="C206">
        <v>117.8</v>
      </c>
      <c r="D206">
        <v>112.30848</v>
      </c>
      <c r="E206" s="1">
        <v>41395</v>
      </c>
      <c r="F206">
        <f t="shared" si="6"/>
        <v>5</v>
      </c>
      <c r="G206">
        <f t="shared" si="7"/>
        <v>2013</v>
      </c>
    </row>
    <row r="207" spans="1:7" x14ac:dyDescent="0.25">
      <c r="A207" t="s">
        <v>5</v>
      </c>
      <c r="B207" t="s">
        <v>7</v>
      </c>
      <c r="C207">
        <v>116.96</v>
      </c>
      <c r="D207">
        <v>110.09666</v>
      </c>
      <c r="E207" s="1">
        <v>41426</v>
      </c>
      <c r="F207">
        <f t="shared" si="6"/>
        <v>6</v>
      </c>
      <c r="G207">
        <f t="shared" si="7"/>
        <v>2013</v>
      </c>
    </row>
    <row r="208" spans="1:7" x14ac:dyDescent="0.25">
      <c r="A208" t="s">
        <v>5</v>
      </c>
      <c r="B208" t="s">
        <v>7</v>
      </c>
      <c r="C208">
        <v>118.55</v>
      </c>
      <c r="D208">
        <v>118.76278000000001</v>
      </c>
      <c r="E208" s="1">
        <v>41456</v>
      </c>
      <c r="F208">
        <f t="shared" si="6"/>
        <v>7</v>
      </c>
      <c r="G208">
        <f t="shared" si="7"/>
        <v>2013</v>
      </c>
    </row>
    <row r="209" spans="1:7" x14ac:dyDescent="0.25">
      <c r="A209" t="s">
        <v>5</v>
      </c>
      <c r="B209" t="s">
        <v>7</v>
      </c>
      <c r="C209">
        <v>117.9</v>
      </c>
      <c r="D209">
        <v>117.90903</v>
      </c>
      <c r="E209" s="1">
        <v>41487</v>
      </c>
      <c r="F209">
        <f t="shared" si="6"/>
        <v>8</v>
      </c>
      <c r="G209">
        <f t="shared" si="7"/>
        <v>2013</v>
      </c>
    </row>
    <row r="210" spans="1:7" x14ac:dyDescent="0.25">
      <c r="A210" t="s">
        <v>5</v>
      </c>
      <c r="B210" t="s">
        <v>7</v>
      </c>
      <c r="C210">
        <v>118.15</v>
      </c>
      <c r="D210">
        <v>114.23005999999999</v>
      </c>
      <c r="E210" s="1">
        <v>41518</v>
      </c>
      <c r="F210">
        <f t="shared" si="6"/>
        <v>9</v>
      </c>
      <c r="G210">
        <f t="shared" si="7"/>
        <v>2013</v>
      </c>
    </row>
    <row r="211" spans="1:7" x14ac:dyDescent="0.25">
      <c r="A211" t="s">
        <v>5</v>
      </c>
      <c r="B211" t="s">
        <v>7</v>
      </c>
      <c r="C211">
        <v>119.37</v>
      </c>
      <c r="D211">
        <v>120.63324</v>
      </c>
      <c r="E211" s="1">
        <v>41548</v>
      </c>
      <c r="F211">
        <f t="shared" si="6"/>
        <v>10</v>
      </c>
      <c r="G211">
        <f t="shared" si="7"/>
        <v>2013</v>
      </c>
    </row>
    <row r="212" spans="1:7" x14ac:dyDescent="0.25">
      <c r="A212" t="s">
        <v>5</v>
      </c>
      <c r="B212" t="s">
        <v>7</v>
      </c>
      <c r="C212">
        <v>118.23</v>
      </c>
      <c r="D212">
        <v>121.7479</v>
      </c>
      <c r="E212" s="1">
        <v>41579</v>
      </c>
      <c r="F212">
        <f t="shared" si="6"/>
        <v>11</v>
      </c>
      <c r="G212">
        <f t="shared" si="7"/>
        <v>2013</v>
      </c>
    </row>
    <row r="213" spans="1:7" x14ac:dyDescent="0.25">
      <c r="A213" t="s">
        <v>5</v>
      </c>
      <c r="B213" t="s">
        <v>7</v>
      </c>
      <c r="C213">
        <v>116.97</v>
      </c>
      <c r="D213">
        <v>132.78564</v>
      </c>
      <c r="E213" s="1">
        <v>41609</v>
      </c>
      <c r="F213">
        <f t="shared" si="6"/>
        <v>12</v>
      </c>
      <c r="G213">
        <f t="shared" si="7"/>
        <v>2013</v>
      </c>
    </row>
    <row r="214" spans="1:7" x14ac:dyDescent="0.25">
      <c r="A214" t="s">
        <v>5</v>
      </c>
      <c r="B214" t="s">
        <v>7</v>
      </c>
      <c r="C214">
        <v>117.29</v>
      </c>
      <c r="D214">
        <v>125.74823000000001</v>
      </c>
      <c r="E214" s="1">
        <v>41640</v>
      </c>
      <c r="F214">
        <f t="shared" si="6"/>
        <v>1</v>
      </c>
      <c r="G214">
        <f t="shared" si="7"/>
        <v>2014</v>
      </c>
    </row>
    <row r="215" spans="1:7" x14ac:dyDescent="0.25">
      <c r="A215" t="s">
        <v>5</v>
      </c>
      <c r="B215" t="s">
        <v>7</v>
      </c>
      <c r="C215">
        <v>117.18</v>
      </c>
      <c r="D215">
        <v>108.79476</v>
      </c>
      <c r="E215" s="1">
        <v>41671</v>
      </c>
      <c r="F215">
        <f t="shared" si="6"/>
        <v>2</v>
      </c>
      <c r="G215">
        <f t="shared" si="7"/>
        <v>2014</v>
      </c>
    </row>
    <row r="216" spans="1:7" x14ac:dyDescent="0.25">
      <c r="A216" t="s">
        <v>5</v>
      </c>
      <c r="B216" t="s">
        <v>7</v>
      </c>
      <c r="C216">
        <v>116.07</v>
      </c>
      <c r="D216">
        <v>115.74303</v>
      </c>
      <c r="E216" s="1">
        <v>41699</v>
      </c>
      <c r="F216">
        <f t="shared" si="6"/>
        <v>3</v>
      </c>
      <c r="G216">
        <f t="shared" si="7"/>
        <v>2014</v>
      </c>
    </row>
    <row r="217" spans="1:7" x14ac:dyDescent="0.25">
      <c r="A217" t="s">
        <v>5</v>
      </c>
      <c r="B217" t="s">
        <v>7</v>
      </c>
      <c r="C217">
        <v>116.83</v>
      </c>
      <c r="D217">
        <v>112.14489</v>
      </c>
      <c r="E217" s="1">
        <v>41730</v>
      </c>
      <c r="F217">
        <f t="shared" si="6"/>
        <v>4</v>
      </c>
      <c r="G217">
        <f t="shared" si="7"/>
        <v>2014</v>
      </c>
    </row>
    <row r="218" spans="1:7" x14ac:dyDescent="0.25">
      <c r="A218" t="s">
        <v>5</v>
      </c>
      <c r="B218" t="s">
        <v>7</v>
      </c>
      <c r="C218">
        <v>118.37</v>
      </c>
      <c r="D218">
        <v>113.3066</v>
      </c>
      <c r="E218" s="1">
        <v>41760</v>
      </c>
      <c r="F218">
        <f t="shared" si="6"/>
        <v>5</v>
      </c>
      <c r="G218">
        <f t="shared" si="7"/>
        <v>2014</v>
      </c>
    </row>
    <row r="219" spans="1:7" x14ac:dyDescent="0.25">
      <c r="A219" t="s">
        <v>5</v>
      </c>
      <c r="B219" t="s">
        <v>7</v>
      </c>
      <c r="C219">
        <v>112.51</v>
      </c>
      <c r="D219">
        <v>105.18505</v>
      </c>
      <c r="E219" s="1">
        <v>41791</v>
      </c>
      <c r="F219">
        <f t="shared" si="6"/>
        <v>6</v>
      </c>
      <c r="G219">
        <f t="shared" si="7"/>
        <v>2014</v>
      </c>
    </row>
    <row r="220" spans="1:7" x14ac:dyDescent="0.25">
      <c r="A220" t="s">
        <v>5</v>
      </c>
      <c r="B220" t="s">
        <v>7</v>
      </c>
      <c r="C220">
        <v>110.2</v>
      </c>
      <c r="D220">
        <v>109.74503</v>
      </c>
      <c r="E220" s="1">
        <v>41821</v>
      </c>
      <c r="F220">
        <f t="shared" si="6"/>
        <v>7</v>
      </c>
      <c r="G220">
        <f t="shared" si="7"/>
        <v>2014</v>
      </c>
    </row>
    <row r="221" spans="1:7" x14ac:dyDescent="0.25">
      <c r="A221" t="s">
        <v>5</v>
      </c>
      <c r="B221" t="s">
        <v>7</v>
      </c>
      <c r="C221">
        <v>115.67</v>
      </c>
      <c r="D221">
        <v>115.85093999999999</v>
      </c>
      <c r="E221" s="1">
        <v>41852</v>
      </c>
      <c r="F221">
        <f t="shared" si="6"/>
        <v>8</v>
      </c>
      <c r="G221">
        <f t="shared" si="7"/>
        <v>2014</v>
      </c>
    </row>
    <row r="222" spans="1:7" x14ac:dyDescent="0.25">
      <c r="A222" t="s">
        <v>5</v>
      </c>
      <c r="B222" t="s">
        <v>7</v>
      </c>
      <c r="C222">
        <v>114.09</v>
      </c>
      <c r="D222">
        <v>110.23806</v>
      </c>
      <c r="E222" s="1">
        <v>41883</v>
      </c>
      <c r="F222">
        <f t="shared" si="6"/>
        <v>9</v>
      </c>
      <c r="G222">
        <f t="shared" si="7"/>
        <v>2014</v>
      </c>
    </row>
    <row r="223" spans="1:7" x14ac:dyDescent="0.25">
      <c r="A223" t="s">
        <v>5</v>
      </c>
      <c r="B223" t="s">
        <v>7</v>
      </c>
      <c r="C223">
        <v>114.1</v>
      </c>
      <c r="D223">
        <v>116.49804</v>
      </c>
      <c r="E223" s="1">
        <v>41913</v>
      </c>
      <c r="F223">
        <f t="shared" si="6"/>
        <v>10</v>
      </c>
      <c r="G223">
        <f t="shared" si="7"/>
        <v>2014</v>
      </c>
    </row>
    <row r="224" spans="1:7" x14ac:dyDescent="0.25">
      <c r="A224" t="s">
        <v>5</v>
      </c>
      <c r="B224" t="s">
        <v>7</v>
      </c>
      <c r="C224">
        <v>113.71</v>
      </c>
      <c r="D224">
        <v>115.31662</v>
      </c>
      <c r="E224" s="1">
        <v>41944</v>
      </c>
      <c r="F224">
        <f t="shared" si="6"/>
        <v>11</v>
      </c>
      <c r="G224">
        <f t="shared" si="7"/>
        <v>2014</v>
      </c>
    </row>
    <row r="225" spans="1:7" x14ac:dyDescent="0.25">
      <c r="A225" t="s">
        <v>5</v>
      </c>
      <c r="B225" t="s">
        <v>7</v>
      </c>
      <c r="C225">
        <v>115.21</v>
      </c>
      <c r="D225">
        <v>130.87142</v>
      </c>
      <c r="E225" s="1">
        <v>41974</v>
      </c>
      <c r="F225">
        <f t="shared" si="6"/>
        <v>12</v>
      </c>
      <c r="G225">
        <f t="shared" si="7"/>
        <v>2014</v>
      </c>
    </row>
    <row r="226" spans="1:7" x14ac:dyDescent="0.25">
      <c r="A226" t="s">
        <v>5</v>
      </c>
      <c r="B226" t="s">
        <v>7</v>
      </c>
      <c r="C226">
        <v>113.69</v>
      </c>
      <c r="D226">
        <v>123.54358000000001</v>
      </c>
      <c r="E226" s="1">
        <v>42005</v>
      </c>
      <c r="F226">
        <f t="shared" si="6"/>
        <v>1</v>
      </c>
      <c r="G226">
        <f t="shared" si="7"/>
        <v>2015</v>
      </c>
    </row>
    <row r="227" spans="1:7" x14ac:dyDescent="0.25">
      <c r="A227" t="s">
        <v>5</v>
      </c>
      <c r="B227" t="s">
        <v>7</v>
      </c>
      <c r="C227">
        <v>112.93</v>
      </c>
      <c r="D227">
        <v>105.96728</v>
      </c>
      <c r="E227" s="1">
        <v>42036</v>
      </c>
      <c r="F227">
        <f t="shared" si="6"/>
        <v>2</v>
      </c>
      <c r="G227">
        <f t="shared" si="7"/>
        <v>2015</v>
      </c>
    </row>
    <row r="228" spans="1:7" x14ac:dyDescent="0.25">
      <c r="A228" t="s">
        <v>5</v>
      </c>
      <c r="B228" t="s">
        <v>7</v>
      </c>
      <c r="C228">
        <v>110.97</v>
      </c>
      <c r="D228">
        <v>109.39818</v>
      </c>
      <c r="E228" s="1">
        <v>42064</v>
      </c>
      <c r="F228">
        <f t="shared" si="6"/>
        <v>3</v>
      </c>
      <c r="G228">
        <f t="shared" si="7"/>
        <v>2015</v>
      </c>
    </row>
    <row r="229" spans="1:7" x14ac:dyDescent="0.25">
      <c r="A229" t="s">
        <v>5</v>
      </c>
      <c r="B229" t="s">
        <v>7</v>
      </c>
      <c r="C229">
        <v>109.91</v>
      </c>
      <c r="D229">
        <v>104.60016</v>
      </c>
      <c r="E229" s="1">
        <v>42095</v>
      </c>
      <c r="F229">
        <f t="shared" si="6"/>
        <v>4</v>
      </c>
      <c r="G229">
        <f t="shared" si="7"/>
        <v>2015</v>
      </c>
    </row>
    <row r="230" spans="1:7" x14ac:dyDescent="0.25">
      <c r="A230" t="s">
        <v>5</v>
      </c>
      <c r="B230" t="s">
        <v>7</v>
      </c>
      <c r="C230">
        <v>108.3</v>
      </c>
      <c r="D230">
        <v>103.11359</v>
      </c>
      <c r="E230" s="1">
        <v>42125</v>
      </c>
      <c r="F230">
        <f t="shared" si="6"/>
        <v>5</v>
      </c>
      <c r="G230">
        <f t="shared" si="7"/>
        <v>2015</v>
      </c>
    </row>
    <row r="231" spans="1:7" x14ac:dyDescent="0.25">
      <c r="A231" t="s">
        <v>5</v>
      </c>
      <c r="B231" t="s">
        <v>7</v>
      </c>
      <c r="C231">
        <v>109.73</v>
      </c>
      <c r="D231">
        <v>102.48842999999999</v>
      </c>
      <c r="E231" s="1">
        <v>42156</v>
      </c>
      <c r="F231">
        <f t="shared" si="6"/>
        <v>6</v>
      </c>
      <c r="G231">
        <f t="shared" si="7"/>
        <v>2015</v>
      </c>
    </row>
    <row r="232" spans="1:7" x14ac:dyDescent="0.25">
      <c r="A232" t="s">
        <v>5</v>
      </c>
      <c r="B232" t="s">
        <v>7</v>
      </c>
      <c r="C232">
        <v>106.56</v>
      </c>
      <c r="D232">
        <v>107.6793</v>
      </c>
      <c r="E232" s="1">
        <v>42186</v>
      </c>
      <c r="F232">
        <f t="shared" si="6"/>
        <v>7</v>
      </c>
      <c r="G232">
        <f t="shared" si="7"/>
        <v>2015</v>
      </c>
    </row>
    <row r="233" spans="1:7" x14ac:dyDescent="0.25">
      <c r="A233" t="s">
        <v>5</v>
      </c>
      <c r="B233" t="s">
        <v>7</v>
      </c>
      <c r="C233">
        <v>106.98</v>
      </c>
      <c r="D233">
        <v>106.3361</v>
      </c>
      <c r="E233" s="1">
        <v>42217</v>
      </c>
      <c r="F233">
        <f t="shared" si="6"/>
        <v>8</v>
      </c>
      <c r="G233">
        <f t="shared" si="7"/>
        <v>2015</v>
      </c>
    </row>
    <row r="234" spans="1:7" x14ac:dyDescent="0.25">
      <c r="A234" t="s">
        <v>5</v>
      </c>
      <c r="B234" t="s">
        <v>7</v>
      </c>
      <c r="C234">
        <v>107.34</v>
      </c>
      <c r="D234">
        <v>102.87859</v>
      </c>
      <c r="E234" s="1">
        <v>42248</v>
      </c>
      <c r="F234">
        <f t="shared" si="6"/>
        <v>9</v>
      </c>
      <c r="G234">
        <f t="shared" si="7"/>
        <v>2015</v>
      </c>
    </row>
    <row r="235" spans="1:7" x14ac:dyDescent="0.25">
      <c r="A235" t="s">
        <v>5</v>
      </c>
      <c r="B235" t="s">
        <v>7</v>
      </c>
      <c r="C235">
        <v>108.13</v>
      </c>
      <c r="D235">
        <v>110.93342</v>
      </c>
      <c r="E235" s="1">
        <v>42278</v>
      </c>
      <c r="F235">
        <f t="shared" si="6"/>
        <v>10</v>
      </c>
      <c r="G235">
        <f t="shared" si="7"/>
        <v>2015</v>
      </c>
    </row>
    <row r="236" spans="1:7" x14ac:dyDescent="0.25">
      <c r="A236" t="s">
        <v>5</v>
      </c>
      <c r="B236" t="s">
        <v>7</v>
      </c>
      <c r="C236">
        <v>106.59</v>
      </c>
      <c r="D236">
        <v>107.75362</v>
      </c>
      <c r="E236" s="1">
        <v>42309</v>
      </c>
      <c r="F236">
        <f t="shared" si="6"/>
        <v>11</v>
      </c>
      <c r="G236">
        <f t="shared" si="7"/>
        <v>2015</v>
      </c>
    </row>
    <row r="237" spans="1:7" x14ac:dyDescent="0.25">
      <c r="A237" t="s">
        <v>5</v>
      </c>
      <c r="B237" t="s">
        <v>7</v>
      </c>
      <c r="C237">
        <v>106.84</v>
      </c>
      <c r="D237">
        <v>121.32942</v>
      </c>
      <c r="E237" s="1">
        <v>42339</v>
      </c>
      <c r="F237">
        <f t="shared" si="6"/>
        <v>12</v>
      </c>
      <c r="G237">
        <f t="shared" si="7"/>
        <v>2015</v>
      </c>
    </row>
    <row r="238" spans="1:7" x14ac:dyDescent="0.25">
      <c r="A238" t="s">
        <v>5</v>
      </c>
      <c r="B238" t="s">
        <v>7</v>
      </c>
      <c r="C238">
        <v>107.78</v>
      </c>
      <c r="D238">
        <v>118.42319000000001</v>
      </c>
      <c r="E238" s="1">
        <v>42370</v>
      </c>
      <c r="F238">
        <f t="shared" si="6"/>
        <v>1</v>
      </c>
      <c r="G238">
        <f t="shared" si="7"/>
        <v>2016</v>
      </c>
    </row>
    <row r="239" spans="1:7" x14ac:dyDescent="0.25">
      <c r="A239" t="s">
        <v>5</v>
      </c>
      <c r="B239" t="s">
        <v>7</v>
      </c>
      <c r="C239">
        <v>108.77</v>
      </c>
      <c r="D239">
        <v>104.52594999999999</v>
      </c>
      <c r="E239" s="1">
        <v>42401</v>
      </c>
      <c r="F239">
        <f t="shared" si="6"/>
        <v>2</v>
      </c>
      <c r="G239">
        <f t="shared" si="7"/>
        <v>2016</v>
      </c>
    </row>
    <row r="240" spans="1:7" x14ac:dyDescent="0.25">
      <c r="A240" t="s">
        <v>5</v>
      </c>
      <c r="B240" t="s">
        <v>7</v>
      </c>
      <c r="C240">
        <v>106.6</v>
      </c>
      <c r="D240">
        <v>105.2465</v>
      </c>
      <c r="E240" s="1">
        <v>42430</v>
      </c>
      <c r="F240">
        <f t="shared" si="6"/>
        <v>3</v>
      </c>
      <c r="G240">
        <f t="shared" si="7"/>
        <v>2016</v>
      </c>
    </row>
    <row r="241" spans="1:7" x14ac:dyDescent="0.25">
      <c r="A241" t="s">
        <v>5</v>
      </c>
      <c r="B241" t="s">
        <v>7</v>
      </c>
      <c r="C241">
        <v>105.49</v>
      </c>
      <c r="D241">
        <v>101.41495999999999</v>
      </c>
      <c r="E241" s="1">
        <v>42461</v>
      </c>
      <c r="F241">
        <f t="shared" si="6"/>
        <v>4</v>
      </c>
      <c r="G241">
        <f t="shared" si="7"/>
        <v>2016</v>
      </c>
    </row>
    <row r="242" spans="1:7" x14ac:dyDescent="0.25">
      <c r="A242" t="s">
        <v>5</v>
      </c>
      <c r="B242" t="s">
        <v>7</v>
      </c>
      <c r="C242">
        <v>103.31</v>
      </c>
      <c r="D242">
        <v>95.894480000000001</v>
      </c>
      <c r="E242" s="1">
        <v>42491</v>
      </c>
      <c r="F242">
        <f t="shared" si="6"/>
        <v>5</v>
      </c>
      <c r="G242">
        <f t="shared" si="7"/>
        <v>2016</v>
      </c>
    </row>
    <row r="243" spans="1:7" x14ac:dyDescent="0.25">
      <c r="A243" t="s">
        <v>5</v>
      </c>
      <c r="B243" t="s">
        <v>7</v>
      </c>
      <c r="C243">
        <v>102.14</v>
      </c>
      <c r="D243">
        <v>94.816609999999997</v>
      </c>
      <c r="E243" s="1">
        <v>42522</v>
      </c>
      <c r="F243">
        <f t="shared" si="6"/>
        <v>6</v>
      </c>
      <c r="G243">
        <f t="shared" si="7"/>
        <v>2016</v>
      </c>
    </row>
    <row r="244" spans="1:7" x14ac:dyDescent="0.25">
      <c r="A244" t="s">
        <v>5</v>
      </c>
      <c r="B244" t="s">
        <v>7</v>
      </c>
      <c r="C244">
        <v>102.74</v>
      </c>
      <c r="D244">
        <v>105.31361</v>
      </c>
      <c r="E244" s="1">
        <v>42552</v>
      </c>
      <c r="F244">
        <f t="shared" si="6"/>
        <v>7</v>
      </c>
      <c r="G244">
        <f t="shared" si="7"/>
        <v>2016</v>
      </c>
    </row>
    <row r="245" spans="1:7" x14ac:dyDescent="0.25">
      <c r="A245" t="s">
        <v>5</v>
      </c>
      <c r="B245" t="s">
        <v>7</v>
      </c>
      <c r="C245">
        <v>103.21</v>
      </c>
      <c r="D245">
        <v>101.9491</v>
      </c>
      <c r="E245" s="1">
        <v>42583</v>
      </c>
      <c r="F245">
        <f t="shared" si="6"/>
        <v>8</v>
      </c>
      <c r="G245">
        <f t="shared" si="7"/>
        <v>2016</v>
      </c>
    </row>
    <row r="246" spans="1:7" x14ac:dyDescent="0.25">
      <c r="A246" t="s">
        <v>5</v>
      </c>
      <c r="B246" t="s">
        <v>7</v>
      </c>
      <c r="C246">
        <v>100.45</v>
      </c>
      <c r="D246">
        <v>97.003309999999999</v>
      </c>
      <c r="E246" s="1">
        <v>42614</v>
      </c>
      <c r="F246">
        <f t="shared" si="6"/>
        <v>9</v>
      </c>
      <c r="G246">
        <f t="shared" si="7"/>
        <v>2016</v>
      </c>
    </row>
    <row r="247" spans="1:7" x14ac:dyDescent="0.25">
      <c r="A247" t="s">
        <v>5</v>
      </c>
      <c r="B247" t="s">
        <v>7</v>
      </c>
      <c r="C247">
        <v>101.15</v>
      </c>
      <c r="D247">
        <v>103.41034999999999</v>
      </c>
      <c r="E247" s="1">
        <v>42644</v>
      </c>
      <c r="F247">
        <f t="shared" si="6"/>
        <v>10</v>
      </c>
      <c r="G247">
        <f t="shared" si="7"/>
        <v>2016</v>
      </c>
    </row>
    <row r="248" spans="1:7" x14ac:dyDescent="0.25">
      <c r="A248" t="s">
        <v>5</v>
      </c>
      <c r="B248" t="s">
        <v>7</v>
      </c>
      <c r="C248">
        <v>101.04</v>
      </c>
      <c r="D248">
        <v>101.67032</v>
      </c>
      <c r="E248" s="1">
        <v>42675</v>
      </c>
      <c r="F248">
        <f t="shared" si="6"/>
        <v>11</v>
      </c>
      <c r="G248">
        <f t="shared" si="7"/>
        <v>2016</v>
      </c>
    </row>
    <row r="249" spans="1:7" x14ac:dyDescent="0.25">
      <c r="A249" t="s">
        <v>5</v>
      </c>
      <c r="B249" t="s">
        <v>7</v>
      </c>
      <c r="C249">
        <v>104</v>
      </c>
      <c r="D249">
        <v>119.46545</v>
      </c>
      <c r="E249" s="1">
        <v>42705</v>
      </c>
      <c r="F249">
        <f t="shared" si="6"/>
        <v>12</v>
      </c>
      <c r="G249">
        <f t="shared" si="7"/>
        <v>2016</v>
      </c>
    </row>
    <row r="250" spans="1:7" x14ac:dyDescent="0.25">
      <c r="A250" t="s">
        <v>5</v>
      </c>
      <c r="B250" t="s">
        <v>7</v>
      </c>
      <c r="C250">
        <v>103.94</v>
      </c>
      <c r="D250">
        <v>113.73218</v>
      </c>
      <c r="E250" s="1">
        <v>42736</v>
      </c>
      <c r="F250">
        <f t="shared" si="6"/>
        <v>1</v>
      </c>
      <c r="G250">
        <f t="shared" si="7"/>
        <v>2017</v>
      </c>
    </row>
    <row r="251" spans="1:7" x14ac:dyDescent="0.25">
      <c r="A251" t="s">
        <v>5</v>
      </c>
      <c r="B251" t="s">
        <v>7</v>
      </c>
      <c r="C251">
        <v>104.59</v>
      </c>
      <c r="D251">
        <v>97.497630000000001</v>
      </c>
      <c r="E251" s="1">
        <v>42767</v>
      </c>
      <c r="F251">
        <f t="shared" si="6"/>
        <v>2</v>
      </c>
      <c r="G251">
        <f t="shared" si="7"/>
        <v>2017</v>
      </c>
    </row>
    <row r="252" spans="1:7" x14ac:dyDescent="0.25">
      <c r="A252" t="s">
        <v>5</v>
      </c>
      <c r="B252" t="s">
        <v>7</v>
      </c>
      <c r="C252">
        <v>102.79</v>
      </c>
      <c r="D252">
        <v>101.99355</v>
      </c>
      <c r="E252" s="1">
        <v>42795</v>
      </c>
      <c r="F252">
        <f t="shared" si="6"/>
        <v>3</v>
      </c>
      <c r="G252">
        <f t="shared" si="7"/>
        <v>2017</v>
      </c>
    </row>
    <row r="253" spans="1:7" x14ac:dyDescent="0.25">
      <c r="A253" t="s">
        <v>5</v>
      </c>
      <c r="B253" t="s">
        <v>7</v>
      </c>
      <c r="C253">
        <v>102.73</v>
      </c>
      <c r="D253">
        <v>98.061329999999998</v>
      </c>
      <c r="E253" s="1">
        <v>42826</v>
      </c>
      <c r="F253">
        <f t="shared" si="6"/>
        <v>4</v>
      </c>
      <c r="G253">
        <f t="shared" si="7"/>
        <v>2017</v>
      </c>
    </row>
    <row r="254" spans="1:7" x14ac:dyDescent="0.25">
      <c r="A254" t="s">
        <v>5</v>
      </c>
      <c r="B254" t="s">
        <v>7</v>
      </c>
      <c r="C254">
        <v>103.63</v>
      </c>
      <c r="D254">
        <v>97.454939999999993</v>
      </c>
      <c r="E254" s="1">
        <v>42856</v>
      </c>
      <c r="F254">
        <f t="shared" si="6"/>
        <v>5</v>
      </c>
      <c r="G254">
        <f t="shared" si="7"/>
        <v>2017</v>
      </c>
    </row>
    <row r="255" spans="1:7" x14ac:dyDescent="0.25">
      <c r="A255" t="s">
        <v>5</v>
      </c>
      <c r="B255" t="s">
        <v>7</v>
      </c>
      <c r="C255">
        <v>105.7</v>
      </c>
      <c r="D255">
        <v>98.772649999999999</v>
      </c>
      <c r="E255" s="1">
        <v>42887</v>
      </c>
      <c r="F255">
        <f t="shared" si="6"/>
        <v>6</v>
      </c>
      <c r="G255">
        <f t="shared" si="7"/>
        <v>2017</v>
      </c>
    </row>
    <row r="256" spans="1:7" x14ac:dyDescent="0.25">
      <c r="A256" t="s">
        <v>5</v>
      </c>
      <c r="B256" t="s">
        <v>7</v>
      </c>
      <c r="C256">
        <v>104.51</v>
      </c>
      <c r="D256">
        <v>106.91758</v>
      </c>
      <c r="E256" s="1">
        <v>42917</v>
      </c>
      <c r="F256">
        <f t="shared" si="6"/>
        <v>7</v>
      </c>
      <c r="G256">
        <f t="shared" si="7"/>
        <v>2017</v>
      </c>
    </row>
    <row r="257" spans="1:7" x14ac:dyDescent="0.25">
      <c r="A257" t="s">
        <v>5</v>
      </c>
      <c r="B257" t="s">
        <v>7</v>
      </c>
      <c r="C257">
        <v>100.22</v>
      </c>
      <c r="D257">
        <v>97.651079999999993</v>
      </c>
      <c r="E257" s="1">
        <v>42948</v>
      </c>
      <c r="F257">
        <f t="shared" si="6"/>
        <v>8</v>
      </c>
      <c r="G257">
        <f t="shared" si="7"/>
        <v>2017</v>
      </c>
    </row>
    <row r="258" spans="1:7" x14ac:dyDescent="0.25">
      <c r="A258" t="s">
        <v>5</v>
      </c>
      <c r="B258" t="s">
        <v>7</v>
      </c>
      <c r="C258">
        <v>103.67</v>
      </c>
      <c r="D258">
        <v>101.44222000000001</v>
      </c>
      <c r="E258" s="1">
        <v>42979</v>
      </c>
      <c r="F258">
        <f t="shared" ref="F258:F321" si="8">MONTH(E258)</f>
        <v>9</v>
      </c>
      <c r="G258">
        <f t="shared" ref="G258:G321" si="9">YEAR(E258)</f>
        <v>2017</v>
      </c>
    </row>
    <row r="259" spans="1:7" x14ac:dyDescent="0.25">
      <c r="A259" t="s">
        <v>5</v>
      </c>
      <c r="B259" t="s">
        <v>7</v>
      </c>
      <c r="C259">
        <v>101.77</v>
      </c>
      <c r="D259">
        <v>103.83502</v>
      </c>
      <c r="E259" s="1">
        <v>43009</v>
      </c>
      <c r="F259">
        <f t="shared" si="8"/>
        <v>10</v>
      </c>
      <c r="G259">
        <f t="shared" si="9"/>
        <v>2017</v>
      </c>
    </row>
    <row r="260" spans="1:7" x14ac:dyDescent="0.25">
      <c r="A260" t="s">
        <v>5</v>
      </c>
      <c r="B260" t="s">
        <v>7</v>
      </c>
      <c r="C260">
        <v>103.06</v>
      </c>
      <c r="D260">
        <v>103.16011</v>
      </c>
      <c r="E260" s="1">
        <v>43040</v>
      </c>
      <c r="F260">
        <f t="shared" si="8"/>
        <v>11</v>
      </c>
      <c r="G260">
        <f t="shared" si="9"/>
        <v>2017</v>
      </c>
    </row>
    <row r="261" spans="1:7" x14ac:dyDescent="0.25">
      <c r="A261" t="s">
        <v>5</v>
      </c>
      <c r="B261" t="s">
        <v>7</v>
      </c>
      <c r="C261">
        <v>100.3</v>
      </c>
      <c r="D261">
        <v>115.25369999999999</v>
      </c>
      <c r="E261" s="1">
        <v>43070</v>
      </c>
      <c r="F261">
        <f t="shared" si="8"/>
        <v>12</v>
      </c>
      <c r="G261">
        <f t="shared" si="9"/>
        <v>2017</v>
      </c>
    </row>
    <row r="262" spans="1:7" x14ac:dyDescent="0.25">
      <c r="A262" t="s">
        <v>5</v>
      </c>
      <c r="B262" t="s">
        <v>7</v>
      </c>
      <c r="C262">
        <v>100.56</v>
      </c>
      <c r="D262">
        <v>110.35372</v>
      </c>
      <c r="E262" s="1">
        <v>43101</v>
      </c>
      <c r="F262">
        <f t="shared" si="8"/>
        <v>1</v>
      </c>
      <c r="G262">
        <f t="shared" si="9"/>
        <v>2018</v>
      </c>
    </row>
    <row r="263" spans="1:7" x14ac:dyDescent="0.25">
      <c r="A263" t="s">
        <v>5</v>
      </c>
      <c r="B263" t="s">
        <v>7</v>
      </c>
      <c r="C263">
        <v>99.94</v>
      </c>
      <c r="D263">
        <v>92.435900000000004</v>
      </c>
      <c r="E263" s="1">
        <v>43132</v>
      </c>
      <c r="F263">
        <f t="shared" si="8"/>
        <v>2</v>
      </c>
      <c r="G263">
        <f t="shared" si="9"/>
        <v>2018</v>
      </c>
    </row>
    <row r="264" spans="1:7" x14ac:dyDescent="0.25">
      <c r="A264" t="s">
        <v>5</v>
      </c>
      <c r="B264" t="s">
        <v>7</v>
      </c>
      <c r="C264">
        <v>102.3</v>
      </c>
      <c r="D264">
        <v>102.99281999999999</v>
      </c>
      <c r="E264" s="1">
        <v>43160</v>
      </c>
      <c r="F264">
        <f t="shared" si="8"/>
        <v>3</v>
      </c>
      <c r="G264">
        <f t="shared" si="9"/>
        <v>2018</v>
      </c>
    </row>
    <row r="265" spans="1:7" x14ac:dyDescent="0.25">
      <c r="A265" t="s">
        <v>5</v>
      </c>
      <c r="B265" t="s">
        <v>7</v>
      </c>
      <c r="C265">
        <v>104.69</v>
      </c>
      <c r="D265">
        <v>99.100430000000003</v>
      </c>
      <c r="E265" s="1">
        <v>43191</v>
      </c>
      <c r="F265">
        <f t="shared" si="8"/>
        <v>4</v>
      </c>
      <c r="G265">
        <f t="shared" si="9"/>
        <v>2018</v>
      </c>
    </row>
    <row r="266" spans="1:7" x14ac:dyDescent="0.25">
      <c r="A266" t="s">
        <v>5</v>
      </c>
      <c r="B266" t="s">
        <v>7</v>
      </c>
      <c r="C266">
        <v>102.5</v>
      </c>
      <c r="D266">
        <v>95.927080000000004</v>
      </c>
      <c r="E266" s="1">
        <v>43221</v>
      </c>
      <c r="F266">
        <f t="shared" si="8"/>
        <v>5</v>
      </c>
      <c r="G266">
        <f t="shared" si="9"/>
        <v>2018</v>
      </c>
    </row>
    <row r="267" spans="1:7" x14ac:dyDescent="0.25">
      <c r="A267" t="s">
        <v>5</v>
      </c>
      <c r="B267" t="s">
        <v>7</v>
      </c>
      <c r="C267">
        <v>100.65</v>
      </c>
      <c r="D267">
        <v>94.652159999999995</v>
      </c>
      <c r="E267" s="1">
        <v>43252</v>
      </c>
      <c r="F267">
        <f t="shared" si="8"/>
        <v>6</v>
      </c>
      <c r="G267">
        <f t="shared" si="9"/>
        <v>2018</v>
      </c>
    </row>
    <row r="268" spans="1:7" x14ac:dyDescent="0.25">
      <c r="A268" t="s">
        <v>5</v>
      </c>
      <c r="B268" t="s">
        <v>7</v>
      </c>
      <c r="C268">
        <v>104.18</v>
      </c>
      <c r="D268">
        <v>106.76802000000001</v>
      </c>
      <c r="E268" s="1">
        <v>43282</v>
      </c>
      <c r="F268">
        <f t="shared" si="8"/>
        <v>7</v>
      </c>
      <c r="G268">
        <f t="shared" si="9"/>
        <v>2018</v>
      </c>
    </row>
    <row r="269" spans="1:7" x14ac:dyDescent="0.25">
      <c r="A269" t="s">
        <v>5</v>
      </c>
      <c r="B269" t="s">
        <v>7</v>
      </c>
      <c r="C269">
        <v>104.47</v>
      </c>
      <c r="D269">
        <v>102.4285</v>
      </c>
      <c r="E269" s="1">
        <v>43313</v>
      </c>
      <c r="F269">
        <f t="shared" si="8"/>
        <v>8</v>
      </c>
      <c r="G269">
        <f t="shared" si="9"/>
        <v>2018</v>
      </c>
    </row>
    <row r="270" spans="1:7" x14ac:dyDescent="0.25">
      <c r="A270" t="s">
        <v>5</v>
      </c>
      <c r="B270" t="s">
        <v>7</v>
      </c>
      <c r="C270">
        <v>105.09</v>
      </c>
      <c r="D270">
        <v>101.91924</v>
      </c>
      <c r="E270" s="1">
        <v>43344</v>
      </c>
      <c r="F270">
        <f t="shared" si="8"/>
        <v>9</v>
      </c>
      <c r="G270">
        <f t="shared" si="9"/>
        <v>2018</v>
      </c>
    </row>
    <row r="271" spans="1:7" x14ac:dyDescent="0.25">
      <c r="A271" t="s">
        <v>5</v>
      </c>
      <c r="B271" t="s">
        <v>7</v>
      </c>
      <c r="C271">
        <v>103.31</v>
      </c>
      <c r="D271">
        <v>105.93432</v>
      </c>
      <c r="E271" s="1">
        <v>43374</v>
      </c>
      <c r="F271">
        <f t="shared" si="8"/>
        <v>10</v>
      </c>
      <c r="G271">
        <f t="shared" si="9"/>
        <v>2018</v>
      </c>
    </row>
    <row r="272" spans="1:7" x14ac:dyDescent="0.25">
      <c r="A272" t="s">
        <v>5</v>
      </c>
      <c r="B272" t="s">
        <v>7</v>
      </c>
      <c r="C272">
        <v>104.62</v>
      </c>
      <c r="D272">
        <v>106.41142000000001</v>
      </c>
      <c r="E272" s="1">
        <v>43405</v>
      </c>
      <c r="F272">
        <f t="shared" si="8"/>
        <v>11</v>
      </c>
      <c r="G272">
        <f t="shared" si="9"/>
        <v>2018</v>
      </c>
    </row>
    <row r="273" spans="1:7" x14ac:dyDescent="0.25">
      <c r="A273" t="s">
        <v>5</v>
      </c>
      <c r="B273" t="s">
        <v>7</v>
      </c>
      <c r="C273">
        <v>105.47</v>
      </c>
      <c r="D273">
        <v>118.83277</v>
      </c>
      <c r="E273" s="1">
        <v>43435</v>
      </c>
      <c r="F273">
        <f t="shared" si="8"/>
        <v>12</v>
      </c>
      <c r="G273">
        <f t="shared" si="9"/>
        <v>2018</v>
      </c>
    </row>
    <row r="274" spans="1:7" x14ac:dyDescent="0.25">
      <c r="A274" t="s">
        <v>5</v>
      </c>
      <c r="B274" t="s">
        <v>7</v>
      </c>
      <c r="C274">
        <v>106.71</v>
      </c>
      <c r="D274">
        <v>115.16343999999999</v>
      </c>
      <c r="E274" s="1">
        <v>43466</v>
      </c>
      <c r="F274">
        <f t="shared" si="8"/>
        <v>1</v>
      </c>
      <c r="G274">
        <f t="shared" si="9"/>
        <v>2019</v>
      </c>
    </row>
    <row r="275" spans="1:7" x14ac:dyDescent="0.25">
      <c r="A275" t="s">
        <v>5</v>
      </c>
      <c r="B275" t="s">
        <v>7</v>
      </c>
      <c r="C275">
        <v>106.07</v>
      </c>
      <c r="D275">
        <v>96.612700000000004</v>
      </c>
      <c r="E275" s="1">
        <v>43497</v>
      </c>
      <c r="F275">
        <f t="shared" si="8"/>
        <v>2</v>
      </c>
      <c r="G275">
        <f t="shared" si="9"/>
        <v>2019</v>
      </c>
    </row>
    <row r="276" spans="1:7" x14ac:dyDescent="0.25">
      <c r="A276" t="s">
        <v>5</v>
      </c>
      <c r="B276" t="s">
        <v>7</v>
      </c>
      <c r="C276">
        <v>106.34</v>
      </c>
      <c r="D276">
        <v>107.72149</v>
      </c>
      <c r="E276" s="1">
        <v>43525</v>
      </c>
      <c r="F276">
        <f t="shared" si="8"/>
        <v>3</v>
      </c>
      <c r="G276">
        <f t="shared" si="9"/>
        <v>2019</v>
      </c>
    </row>
    <row r="277" spans="1:7" x14ac:dyDescent="0.25">
      <c r="A277" t="s">
        <v>5</v>
      </c>
      <c r="B277" t="s">
        <v>7</v>
      </c>
      <c r="C277">
        <v>107.04</v>
      </c>
      <c r="D277">
        <v>102.67699</v>
      </c>
      <c r="E277" s="1">
        <v>43556</v>
      </c>
      <c r="F277">
        <f t="shared" si="8"/>
        <v>4</v>
      </c>
      <c r="G277">
        <f t="shared" si="9"/>
        <v>2019</v>
      </c>
    </row>
    <row r="278" spans="1:7" x14ac:dyDescent="0.25">
      <c r="A278" t="s">
        <v>5</v>
      </c>
      <c r="B278" t="s">
        <v>7</v>
      </c>
      <c r="C278">
        <v>106.87</v>
      </c>
      <c r="D278">
        <v>102.04552</v>
      </c>
      <c r="E278" s="1">
        <v>43586</v>
      </c>
      <c r="F278">
        <f t="shared" si="8"/>
        <v>5</v>
      </c>
      <c r="G278">
        <f t="shared" si="9"/>
        <v>2019</v>
      </c>
    </row>
    <row r="279" spans="1:7" x14ac:dyDescent="0.25">
      <c r="A279" t="s">
        <v>5</v>
      </c>
      <c r="B279" t="s">
        <v>7</v>
      </c>
      <c r="C279">
        <v>107.53</v>
      </c>
      <c r="D279">
        <v>100.03556</v>
      </c>
      <c r="E279" s="1">
        <v>43617</v>
      </c>
      <c r="F279">
        <f t="shared" si="8"/>
        <v>6</v>
      </c>
      <c r="G279">
        <f t="shared" si="9"/>
        <v>2019</v>
      </c>
    </row>
    <row r="280" spans="1:7" x14ac:dyDescent="0.25">
      <c r="A280" t="s">
        <v>5</v>
      </c>
      <c r="B280" t="s">
        <v>7</v>
      </c>
      <c r="C280">
        <v>106.81</v>
      </c>
      <c r="D280">
        <v>109.82455</v>
      </c>
      <c r="E280" s="1">
        <v>43647</v>
      </c>
      <c r="F280">
        <f t="shared" si="8"/>
        <v>7</v>
      </c>
      <c r="G280">
        <f t="shared" si="9"/>
        <v>2019</v>
      </c>
    </row>
    <row r="281" spans="1:7" x14ac:dyDescent="0.25">
      <c r="A281" t="s">
        <v>5</v>
      </c>
      <c r="B281" t="s">
        <v>7</v>
      </c>
      <c r="C281">
        <v>105.21</v>
      </c>
      <c r="D281">
        <v>103.31196</v>
      </c>
      <c r="E281" s="1">
        <v>43678</v>
      </c>
      <c r="F281">
        <f t="shared" si="8"/>
        <v>8</v>
      </c>
      <c r="G281">
        <f t="shared" si="9"/>
        <v>2019</v>
      </c>
    </row>
    <row r="282" spans="1:7" x14ac:dyDescent="0.25">
      <c r="A282" t="s">
        <v>5</v>
      </c>
      <c r="B282" t="s">
        <v>7</v>
      </c>
      <c r="C282">
        <v>104.46</v>
      </c>
      <c r="D282">
        <v>101.78789</v>
      </c>
      <c r="E282" s="1">
        <v>43709</v>
      </c>
      <c r="F282">
        <f t="shared" si="8"/>
        <v>9</v>
      </c>
      <c r="G282">
        <f t="shared" si="9"/>
        <v>2019</v>
      </c>
    </row>
    <row r="283" spans="1:7" x14ac:dyDescent="0.25">
      <c r="A283" t="s">
        <v>5</v>
      </c>
      <c r="B283" t="s">
        <v>7</v>
      </c>
      <c r="C283">
        <v>106.46</v>
      </c>
      <c r="D283">
        <v>108.65271</v>
      </c>
      <c r="E283" s="1">
        <v>43739</v>
      </c>
      <c r="F283">
        <f t="shared" si="8"/>
        <v>10</v>
      </c>
      <c r="G283">
        <f t="shared" si="9"/>
        <v>2019</v>
      </c>
    </row>
    <row r="284" spans="1:7" x14ac:dyDescent="0.25">
      <c r="A284" t="s">
        <v>5</v>
      </c>
      <c r="B284" t="s">
        <v>7</v>
      </c>
      <c r="C284">
        <v>104.28</v>
      </c>
      <c r="D284">
        <v>107.27664</v>
      </c>
      <c r="E284" s="1">
        <v>43770</v>
      </c>
      <c r="F284">
        <f t="shared" si="8"/>
        <v>11</v>
      </c>
      <c r="G284">
        <f t="shared" si="9"/>
        <v>2019</v>
      </c>
    </row>
    <row r="285" spans="1:7" x14ac:dyDescent="0.25">
      <c r="A285" t="s">
        <v>5</v>
      </c>
      <c r="B285" t="s">
        <v>7</v>
      </c>
      <c r="C285">
        <v>104.33</v>
      </c>
      <c r="D285">
        <v>116.90098</v>
      </c>
      <c r="E285" s="1">
        <v>43800</v>
      </c>
      <c r="F285">
        <f t="shared" si="8"/>
        <v>12</v>
      </c>
      <c r="G285">
        <f t="shared" si="9"/>
        <v>2019</v>
      </c>
    </row>
    <row r="286" spans="1:7" x14ac:dyDescent="0.25">
      <c r="A286" t="s">
        <v>5</v>
      </c>
      <c r="B286" t="s">
        <v>7</v>
      </c>
      <c r="C286">
        <v>106.42</v>
      </c>
      <c r="D286">
        <v>115.43093</v>
      </c>
      <c r="E286" s="1">
        <v>43831</v>
      </c>
      <c r="F286">
        <f t="shared" si="8"/>
        <v>1</v>
      </c>
      <c r="G286">
        <f t="shared" si="9"/>
        <v>2020</v>
      </c>
    </row>
    <row r="287" spans="1:7" x14ac:dyDescent="0.25">
      <c r="A287" t="s">
        <v>5</v>
      </c>
      <c r="B287" t="s">
        <v>7</v>
      </c>
      <c r="C287">
        <v>106.14</v>
      </c>
      <c r="D287">
        <v>99.925849999999997</v>
      </c>
      <c r="E287" s="1">
        <v>43862</v>
      </c>
      <c r="F287">
        <f t="shared" si="8"/>
        <v>2</v>
      </c>
      <c r="G287">
        <f t="shared" si="9"/>
        <v>2020</v>
      </c>
    </row>
    <row r="288" spans="1:7" x14ac:dyDescent="0.25">
      <c r="A288" t="s">
        <v>5</v>
      </c>
      <c r="B288" t="s">
        <v>7</v>
      </c>
      <c r="C288">
        <v>72.75</v>
      </c>
      <c r="D288">
        <v>71.595429999999993</v>
      </c>
      <c r="E288" s="1">
        <v>43891</v>
      </c>
      <c r="F288">
        <f t="shared" si="8"/>
        <v>3</v>
      </c>
      <c r="G288">
        <f t="shared" si="9"/>
        <v>2020</v>
      </c>
    </row>
    <row r="289" spans="1:7" x14ac:dyDescent="0.25">
      <c r="A289" t="s">
        <v>5</v>
      </c>
      <c r="B289" t="s">
        <v>7</v>
      </c>
      <c r="C289">
        <v>41.11</v>
      </c>
      <c r="D289">
        <v>35.639209999999999</v>
      </c>
      <c r="E289" s="1">
        <v>43922</v>
      </c>
      <c r="F289">
        <f t="shared" si="8"/>
        <v>4</v>
      </c>
      <c r="G289">
        <f t="shared" si="9"/>
        <v>2020</v>
      </c>
    </row>
    <row r="290" spans="1:7" x14ac:dyDescent="0.25">
      <c r="A290" t="s">
        <v>5</v>
      </c>
      <c r="B290" t="s">
        <v>7</v>
      </c>
      <c r="C290">
        <v>42.8</v>
      </c>
      <c r="D290">
        <v>39.16863</v>
      </c>
      <c r="E290" s="1">
        <v>43952</v>
      </c>
      <c r="F290">
        <f t="shared" si="8"/>
        <v>5</v>
      </c>
      <c r="G290">
        <f t="shared" si="9"/>
        <v>2020</v>
      </c>
    </row>
    <row r="291" spans="1:7" x14ac:dyDescent="0.25">
      <c r="A291" t="s">
        <v>5</v>
      </c>
      <c r="B291" t="s">
        <v>7</v>
      </c>
      <c r="C291">
        <v>49.49</v>
      </c>
      <c r="D291">
        <v>42.555840000000003</v>
      </c>
      <c r="E291" s="1">
        <v>43983</v>
      </c>
      <c r="F291">
        <f t="shared" si="8"/>
        <v>6</v>
      </c>
      <c r="G291">
        <f t="shared" si="9"/>
        <v>2020</v>
      </c>
    </row>
    <row r="292" spans="1:7" x14ac:dyDescent="0.25">
      <c r="A292" t="s">
        <v>5</v>
      </c>
      <c r="B292" t="s">
        <v>7</v>
      </c>
      <c r="C292">
        <v>45.95</v>
      </c>
      <c r="D292">
        <v>49.426859999999998</v>
      </c>
      <c r="E292" s="1">
        <v>44013</v>
      </c>
      <c r="F292">
        <f t="shared" si="8"/>
        <v>7</v>
      </c>
      <c r="G292">
        <f t="shared" si="9"/>
        <v>2020</v>
      </c>
    </row>
    <row r="293" spans="1:7" x14ac:dyDescent="0.25">
      <c r="A293" t="s">
        <v>5</v>
      </c>
      <c r="B293" t="s">
        <v>7</v>
      </c>
      <c r="C293">
        <v>60.86</v>
      </c>
      <c r="D293">
        <v>57.98462</v>
      </c>
      <c r="E293" s="1">
        <v>44044</v>
      </c>
      <c r="F293">
        <f t="shared" si="8"/>
        <v>8</v>
      </c>
      <c r="G293">
        <f t="shared" si="9"/>
        <v>2020</v>
      </c>
    </row>
    <row r="294" spans="1:7" x14ac:dyDescent="0.25">
      <c r="A294" t="s">
        <v>5</v>
      </c>
      <c r="B294" t="s">
        <v>7</v>
      </c>
      <c r="C294">
        <v>67.319999999999993</v>
      </c>
      <c r="D294">
        <v>64.769750000000002</v>
      </c>
      <c r="E294" s="1">
        <v>44075</v>
      </c>
      <c r="F294">
        <f t="shared" si="8"/>
        <v>9</v>
      </c>
      <c r="G294">
        <f t="shared" si="9"/>
        <v>2020</v>
      </c>
    </row>
    <row r="295" spans="1:7" x14ac:dyDescent="0.25">
      <c r="A295" t="s">
        <v>5</v>
      </c>
      <c r="B295" t="s">
        <v>7</v>
      </c>
      <c r="C295">
        <v>71.900000000000006</v>
      </c>
      <c r="D295">
        <v>76.138819999999996</v>
      </c>
      <c r="E295" s="1">
        <v>44105</v>
      </c>
      <c r="F295">
        <f t="shared" si="8"/>
        <v>10</v>
      </c>
      <c r="G295">
        <f t="shared" si="9"/>
        <v>2020</v>
      </c>
    </row>
    <row r="296" spans="1:7" x14ac:dyDescent="0.25">
      <c r="A296" t="s">
        <v>5</v>
      </c>
      <c r="B296" t="s">
        <v>7</v>
      </c>
      <c r="C296">
        <v>77.39</v>
      </c>
      <c r="D296">
        <v>79.315039999999996</v>
      </c>
      <c r="E296" s="1">
        <v>44136</v>
      </c>
      <c r="F296">
        <f t="shared" si="8"/>
        <v>11</v>
      </c>
      <c r="G296">
        <f t="shared" si="9"/>
        <v>2020</v>
      </c>
    </row>
    <row r="297" spans="1:7" x14ac:dyDescent="0.25">
      <c r="A297" t="s">
        <v>5</v>
      </c>
      <c r="B297" t="s">
        <v>7</v>
      </c>
      <c r="C297">
        <v>75.510000000000005</v>
      </c>
      <c r="D297">
        <v>87.294659999999993</v>
      </c>
      <c r="E297" s="1">
        <v>44166</v>
      </c>
      <c r="F297">
        <f t="shared" si="8"/>
        <v>12</v>
      </c>
      <c r="G297">
        <f t="shared" si="9"/>
        <v>2020</v>
      </c>
    </row>
    <row r="298" spans="1:7" x14ac:dyDescent="0.25">
      <c r="A298" t="s">
        <v>5</v>
      </c>
      <c r="B298" t="s">
        <v>7</v>
      </c>
      <c r="C298">
        <v>73.91</v>
      </c>
      <c r="D298">
        <v>83.082120000000003</v>
      </c>
      <c r="E298" s="1">
        <v>44197</v>
      </c>
      <c r="F298">
        <f t="shared" si="8"/>
        <v>1</v>
      </c>
      <c r="G298">
        <f t="shared" si="9"/>
        <v>2021</v>
      </c>
    </row>
    <row r="299" spans="1:7" x14ac:dyDescent="0.25">
      <c r="A299" t="s">
        <v>5</v>
      </c>
      <c r="B299" t="s">
        <v>7</v>
      </c>
      <c r="C299">
        <v>81.06</v>
      </c>
      <c r="D299">
        <v>71.605000000000004</v>
      </c>
      <c r="E299" s="1">
        <v>44228</v>
      </c>
      <c r="F299">
        <f t="shared" si="8"/>
        <v>2</v>
      </c>
      <c r="G299">
        <f t="shared" si="9"/>
        <v>2021</v>
      </c>
    </row>
    <row r="300" spans="1:7" x14ac:dyDescent="0.25">
      <c r="A300" t="s">
        <v>5</v>
      </c>
      <c r="B300" t="s">
        <v>7</v>
      </c>
      <c r="C300">
        <v>60.42</v>
      </c>
      <c r="D300">
        <v>59.331850000000003</v>
      </c>
      <c r="E300" s="1">
        <v>44256</v>
      </c>
      <c r="F300">
        <f t="shared" si="8"/>
        <v>3</v>
      </c>
      <c r="G300">
        <f t="shared" si="9"/>
        <v>2021</v>
      </c>
    </row>
    <row r="301" spans="1:7" x14ac:dyDescent="0.25">
      <c r="A301" t="s">
        <v>5</v>
      </c>
      <c r="B301" t="s">
        <v>7</v>
      </c>
      <c r="C301">
        <v>63.37</v>
      </c>
      <c r="D301">
        <v>59.072139999999997</v>
      </c>
      <c r="E301" s="1">
        <v>44287</v>
      </c>
      <c r="F301">
        <f t="shared" si="8"/>
        <v>4</v>
      </c>
      <c r="G301">
        <f t="shared" si="9"/>
        <v>2021</v>
      </c>
    </row>
    <row r="302" spans="1:7" x14ac:dyDescent="0.25">
      <c r="A302" t="s">
        <v>5</v>
      </c>
      <c r="B302" t="s">
        <v>7</v>
      </c>
      <c r="C302">
        <v>73.430000000000007</v>
      </c>
      <c r="D302">
        <v>69.301370000000006</v>
      </c>
      <c r="E302" s="1">
        <v>44317</v>
      </c>
      <c r="F302">
        <f t="shared" si="8"/>
        <v>5</v>
      </c>
      <c r="G302">
        <f t="shared" si="9"/>
        <v>2021</v>
      </c>
    </row>
    <row r="303" spans="1:7" x14ac:dyDescent="0.25">
      <c r="A303" t="s">
        <v>5</v>
      </c>
      <c r="B303" t="s">
        <v>7</v>
      </c>
      <c r="C303">
        <v>80.81</v>
      </c>
      <c r="D303">
        <v>73.58305</v>
      </c>
      <c r="E303" s="1">
        <v>44348</v>
      </c>
      <c r="F303">
        <f t="shared" si="8"/>
        <v>6</v>
      </c>
      <c r="G303">
        <f t="shared" si="9"/>
        <v>2021</v>
      </c>
    </row>
    <row r="304" spans="1:7" x14ac:dyDescent="0.25">
      <c r="A304" t="s">
        <v>5</v>
      </c>
      <c r="B304" t="s">
        <v>7</v>
      </c>
      <c r="C304">
        <v>82.79</v>
      </c>
      <c r="D304">
        <v>87.035169999999994</v>
      </c>
      <c r="E304" s="1">
        <v>44378</v>
      </c>
      <c r="F304">
        <f t="shared" si="8"/>
        <v>7</v>
      </c>
      <c r="G304">
        <f t="shared" si="9"/>
        <v>2021</v>
      </c>
    </row>
    <row r="305" spans="1:7" x14ac:dyDescent="0.25">
      <c r="A305" t="s">
        <v>5</v>
      </c>
      <c r="B305" t="s">
        <v>7</v>
      </c>
      <c r="C305">
        <v>85.94</v>
      </c>
      <c r="D305">
        <v>82.461209999999994</v>
      </c>
      <c r="E305" s="1">
        <v>44409</v>
      </c>
      <c r="F305">
        <f t="shared" si="8"/>
        <v>8</v>
      </c>
      <c r="G305">
        <f t="shared" si="9"/>
        <v>2021</v>
      </c>
    </row>
    <row r="306" spans="1:7" x14ac:dyDescent="0.25">
      <c r="A306" t="s">
        <v>5</v>
      </c>
      <c r="B306" t="s">
        <v>7</v>
      </c>
      <c r="C306">
        <v>88.71</v>
      </c>
      <c r="D306">
        <v>85.928730000000002</v>
      </c>
      <c r="E306" s="1">
        <v>44440</v>
      </c>
      <c r="F306">
        <f t="shared" si="8"/>
        <v>9</v>
      </c>
      <c r="G306">
        <f t="shared" si="9"/>
        <v>2021</v>
      </c>
    </row>
    <row r="307" spans="1:7" x14ac:dyDescent="0.25">
      <c r="A307" t="s">
        <v>5</v>
      </c>
      <c r="B307" t="s">
        <v>7</v>
      </c>
      <c r="C307">
        <v>90.4</v>
      </c>
      <c r="D307">
        <v>94.851849999999999</v>
      </c>
      <c r="E307" s="1">
        <v>44470</v>
      </c>
      <c r="F307">
        <f t="shared" si="8"/>
        <v>10</v>
      </c>
      <c r="G307">
        <f t="shared" si="9"/>
        <v>2021</v>
      </c>
    </row>
    <row r="308" spans="1:7" x14ac:dyDescent="0.25">
      <c r="A308" t="s">
        <v>5</v>
      </c>
      <c r="B308" t="s">
        <v>7</v>
      </c>
      <c r="C308">
        <v>93.19</v>
      </c>
      <c r="D308">
        <v>95.707380000000001</v>
      </c>
      <c r="E308" s="1">
        <v>44501</v>
      </c>
      <c r="F308">
        <f t="shared" si="8"/>
        <v>11</v>
      </c>
      <c r="G308">
        <f t="shared" si="9"/>
        <v>2021</v>
      </c>
    </row>
    <row r="309" spans="1:7" x14ac:dyDescent="0.25">
      <c r="A309" t="s">
        <v>5</v>
      </c>
      <c r="B309" t="s">
        <v>7</v>
      </c>
      <c r="C309">
        <v>92.72</v>
      </c>
      <c r="D309">
        <v>106.14413999999999</v>
      </c>
      <c r="E309" s="1">
        <v>44531</v>
      </c>
      <c r="F309">
        <f t="shared" si="8"/>
        <v>12</v>
      </c>
      <c r="G309">
        <f t="shared" si="9"/>
        <v>2021</v>
      </c>
    </row>
    <row r="310" spans="1:7" x14ac:dyDescent="0.25">
      <c r="A310" t="s">
        <v>5</v>
      </c>
      <c r="B310" t="s">
        <v>7</v>
      </c>
      <c r="C310">
        <v>91.58</v>
      </c>
      <c r="D310">
        <v>99.311000000000007</v>
      </c>
      <c r="E310" s="1">
        <v>44562</v>
      </c>
      <c r="F310">
        <f t="shared" si="8"/>
        <v>1</v>
      </c>
      <c r="G310">
        <f t="shared" si="9"/>
        <v>2022</v>
      </c>
    </row>
    <row r="311" spans="1:7" x14ac:dyDescent="0.25">
      <c r="A311" t="s">
        <v>5</v>
      </c>
      <c r="B311" t="s">
        <v>7</v>
      </c>
      <c r="C311">
        <v>93.89</v>
      </c>
      <c r="D311">
        <v>83.978669999999994</v>
      </c>
      <c r="E311" s="1">
        <v>44593</v>
      </c>
      <c r="F311">
        <f t="shared" si="8"/>
        <v>2</v>
      </c>
      <c r="G311">
        <f t="shared" si="9"/>
        <v>2022</v>
      </c>
    </row>
    <row r="312" spans="1:7" x14ac:dyDescent="0.25">
      <c r="A312" t="s">
        <v>5</v>
      </c>
      <c r="B312" t="s">
        <v>7</v>
      </c>
      <c r="C312">
        <v>98.57</v>
      </c>
      <c r="D312">
        <v>96.563339999999997</v>
      </c>
      <c r="E312" s="1">
        <v>44621</v>
      </c>
      <c r="F312">
        <f t="shared" si="8"/>
        <v>3</v>
      </c>
      <c r="G312">
        <f t="shared" si="9"/>
        <v>2022</v>
      </c>
    </row>
    <row r="313" spans="1:7" x14ac:dyDescent="0.25">
      <c r="A313" t="s">
        <v>5</v>
      </c>
      <c r="B313" t="s">
        <v>7</v>
      </c>
      <c r="C313">
        <v>99.48</v>
      </c>
      <c r="D313">
        <v>95.693209999999993</v>
      </c>
      <c r="E313" s="1">
        <v>44652</v>
      </c>
      <c r="F313">
        <f t="shared" si="8"/>
        <v>4</v>
      </c>
      <c r="G313">
        <f t="shared" si="9"/>
        <v>2022</v>
      </c>
    </row>
    <row r="314" spans="1:7" x14ac:dyDescent="0.25">
      <c r="A314" t="s">
        <v>5</v>
      </c>
      <c r="B314" t="s">
        <v>7</v>
      </c>
      <c r="C314">
        <v>101.18</v>
      </c>
      <c r="D314">
        <v>96.785259999999994</v>
      </c>
      <c r="E314" s="1">
        <v>44682</v>
      </c>
      <c r="F314">
        <f t="shared" si="8"/>
        <v>5</v>
      </c>
      <c r="G314">
        <f t="shared" si="9"/>
        <v>2022</v>
      </c>
    </row>
    <row r="315" spans="1:7" x14ac:dyDescent="0.25">
      <c r="A315" t="s">
        <v>5</v>
      </c>
      <c r="B315" t="s">
        <v>7</v>
      </c>
      <c r="C315">
        <v>101.63</v>
      </c>
      <c r="D315">
        <v>94.282290000000003</v>
      </c>
      <c r="E315" s="1">
        <v>44713</v>
      </c>
      <c r="F315">
        <f t="shared" si="8"/>
        <v>6</v>
      </c>
      <c r="G315">
        <f t="shared" si="9"/>
        <v>2022</v>
      </c>
    </row>
    <row r="316" spans="1:7" x14ac:dyDescent="0.25">
      <c r="A316" t="s">
        <v>5</v>
      </c>
      <c r="B316" t="s">
        <v>7</v>
      </c>
      <c r="C316">
        <v>102.04</v>
      </c>
      <c r="D316">
        <v>106.66839</v>
      </c>
      <c r="E316" s="1">
        <v>44743</v>
      </c>
      <c r="F316">
        <f t="shared" si="8"/>
        <v>7</v>
      </c>
      <c r="G316">
        <f t="shared" si="9"/>
        <v>2022</v>
      </c>
    </row>
    <row r="317" spans="1:7" x14ac:dyDescent="0.25">
      <c r="A317" t="s">
        <v>5</v>
      </c>
      <c r="B317" t="s">
        <v>7</v>
      </c>
      <c r="C317">
        <v>103.97</v>
      </c>
      <c r="D317">
        <v>100.45498000000001</v>
      </c>
      <c r="E317" s="1">
        <v>44774</v>
      </c>
      <c r="F317">
        <f t="shared" si="8"/>
        <v>8</v>
      </c>
      <c r="G317">
        <f t="shared" si="9"/>
        <v>2022</v>
      </c>
    </row>
    <row r="318" spans="1:7" x14ac:dyDescent="0.25">
      <c r="A318" t="s">
        <v>5</v>
      </c>
      <c r="B318" t="s">
        <v>7</v>
      </c>
      <c r="C318">
        <v>102.65</v>
      </c>
      <c r="D318">
        <v>101.40848</v>
      </c>
      <c r="E318" s="1">
        <v>44805</v>
      </c>
      <c r="F318">
        <f t="shared" si="8"/>
        <v>9</v>
      </c>
      <c r="G318">
        <f t="shared" si="9"/>
        <v>2022</v>
      </c>
    </row>
    <row r="319" spans="1:7" x14ac:dyDescent="0.25">
      <c r="A319" t="s">
        <v>5</v>
      </c>
      <c r="B319" t="s">
        <v>7</v>
      </c>
      <c r="C319">
        <v>102.34</v>
      </c>
      <c r="D319">
        <v>105.70755</v>
      </c>
      <c r="E319" s="1">
        <v>44835</v>
      </c>
      <c r="F319">
        <f t="shared" si="8"/>
        <v>10</v>
      </c>
      <c r="G319">
        <f t="shared" si="9"/>
        <v>2022</v>
      </c>
    </row>
    <row r="320" spans="1:7" x14ac:dyDescent="0.25">
      <c r="A320" t="s">
        <v>5</v>
      </c>
      <c r="B320" t="s">
        <v>7</v>
      </c>
      <c r="C320">
        <v>100.87</v>
      </c>
      <c r="D320">
        <v>103.21071000000001</v>
      </c>
      <c r="E320" s="1">
        <v>44866</v>
      </c>
      <c r="F320">
        <f t="shared" si="8"/>
        <v>11</v>
      </c>
      <c r="G320">
        <f t="shared" si="9"/>
        <v>2022</v>
      </c>
    </row>
    <row r="321" spans="1:7" x14ac:dyDescent="0.25">
      <c r="A321" t="s">
        <v>5</v>
      </c>
      <c r="B321" t="s">
        <v>7</v>
      </c>
      <c r="C321">
        <v>101.16</v>
      </c>
      <c r="D321">
        <v>115.93612</v>
      </c>
      <c r="E321" s="1">
        <v>44896</v>
      </c>
      <c r="F321">
        <f t="shared" si="8"/>
        <v>12</v>
      </c>
      <c r="G321">
        <f t="shared" si="9"/>
        <v>2022</v>
      </c>
    </row>
    <row r="322" spans="1:7" x14ac:dyDescent="0.25">
      <c r="A322" t="s">
        <v>5</v>
      </c>
      <c r="B322" t="s">
        <v>7</v>
      </c>
      <c r="C322">
        <v>103.57</v>
      </c>
      <c r="D322">
        <v>110.26821</v>
      </c>
      <c r="E322" s="1">
        <v>44927</v>
      </c>
      <c r="F322">
        <f t="shared" ref="F322:F385" si="10">MONTH(E322)</f>
        <v>1</v>
      </c>
      <c r="G322">
        <f t="shared" ref="G322:G385" si="11">YEAR(E322)</f>
        <v>2023</v>
      </c>
    </row>
    <row r="323" spans="1:7" x14ac:dyDescent="0.25">
      <c r="A323" t="s">
        <v>5</v>
      </c>
      <c r="B323" t="s">
        <v>7</v>
      </c>
      <c r="C323">
        <v>103.45</v>
      </c>
      <c r="D323">
        <v>93.013009999999994</v>
      </c>
      <c r="E323" s="1">
        <v>44958</v>
      </c>
      <c r="F323">
        <f t="shared" si="10"/>
        <v>2</v>
      </c>
      <c r="G323">
        <f t="shared" si="11"/>
        <v>2023</v>
      </c>
    </row>
    <row r="324" spans="1:7" x14ac:dyDescent="0.25">
      <c r="A324" t="s">
        <v>5</v>
      </c>
      <c r="B324" t="s">
        <v>7</v>
      </c>
      <c r="C324">
        <v>100.75</v>
      </c>
      <c r="D324">
        <v>99.995000000000005</v>
      </c>
      <c r="E324" s="1">
        <v>44986</v>
      </c>
      <c r="F324">
        <f t="shared" si="10"/>
        <v>3</v>
      </c>
      <c r="G324">
        <f t="shared" si="11"/>
        <v>2023</v>
      </c>
    </row>
    <row r="325" spans="1:7" x14ac:dyDescent="0.25">
      <c r="A325" t="s">
        <v>5</v>
      </c>
      <c r="B325" t="s">
        <v>7</v>
      </c>
      <c r="C325">
        <v>104.44</v>
      </c>
      <c r="D325">
        <v>98.835220000000007</v>
      </c>
      <c r="E325" s="1">
        <v>45017</v>
      </c>
      <c r="F325">
        <f t="shared" si="10"/>
        <v>4</v>
      </c>
      <c r="G325">
        <f t="shared" si="11"/>
        <v>2023</v>
      </c>
    </row>
    <row r="326" spans="1:7" x14ac:dyDescent="0.25">
      <c r="A326" t="s">
        <v>5</v>
      </c>
      <c r="B326" t="s">
        <v>7</v>
      </c>
      <c r="C326">
        <v>103.78</v>
      </c>
      <c r="D326">
        <v>99.549340000000001</v>
      </c>
      <c r="E326" s="1">
        <v>45047</v>
      </c>
      <c r="F326">
        <f t="shared" si="10"/>
        <v>5</v>
      </c>
      <c r="G326">
        <f t="shared" si="11"/>
        <v>2023</v>
      </c>
    </row>
    <row r="327" spans="1:7" x14ac:dyDescent="0.25">
      <c r="A327" t="s">
        <v>5</v>
      </c>
      <c r="B327" t="s">
        <v>7</v>
      </c>
      <c r="C327">
        <v>105.53</v>
      </c>
      <c r="D327">
        <v>99.756309999999999</v>
      </c>
      <c r="E327" s="1">
        <v>45078</v>
      </c>
      <c r="F327">
        <f t="shared" si="10"/>
        <v>6</v>
      </c>
      <c r="G327">
        <f t="shared" si="11"/>
        <v>2023</v>
      </c>
    </row>
    <row r="328" spans="1:7" x14ac:dyDescent="0.25">
      <c r="A328" t="s">
        <v>5</v>
      </c>
      <c r="B328" t="s">
        <v>7</v>
      </c>
      <c r="C328">
        <v>108.72</v>
      </c>
      <c r="D328">
        <v>112.80969</v>
      </c>
      <c r="E328" s="1">
        <v>45108</v>
      </c>
      <c r="F328">
        <f t="shared" si="10"/>
        <v>7</v>
      </c>
      <c r="G328">
        <f t="shared" si="11"/>
        <v>2023</v>
      </c>
    </row>
    <row r="329" spans="1:7" x14ac:dyDescent="0.25">
      <c r="A329" t="s">
        <v>5</v>
      </c>
      <c r="B329" t="s">
        <v>7</v>
      </c>
      <c r="C329">
        <v>104.08</v>
      </c>
      <c r="D329">
        <v>99.720259999999996</v>
      </c>
      <c r="E329" s="1">
        <v>45139</v>
      </c>
      <c r="F329">
        <f t="shared" si="10"/>
        <v>8</v>
      </c>
      <c r="G329">
        <f t="shared" si="11"/>
        <v>2023</v>
      </c>
    </row>
    <row r="330" spans="1:7" x14ac:dyDescent="0.25">
      <c r="A330" t="s">
        <v>5</v>
      </c>
      <c r="B330" t="s">
        <v>7</v>
      </c>
      <c r="C330">
        <v>104.71</v>
      </c>
      <c r="D330">
        <v>104.48882999999999</v>
      </c>
      <c r="E330" s="1">
        <v>45170</v>
      </c>
      <c r="F330">
        <f t="shared" si="10"/>
        <v>9</v>
      </c>
      <c r="G330">
        <f t="shared" si="11"/>
        <v>2023</v>
      </c>
    </row>
    <row r="331" spans="1:7" x14ac:dyDescent="0.25">
      <c r="A331" t="s">
        <v>5</v>
      </c>
      <c r="B331" t="s">
        <v>7</v>
      </c>
      <c r="C331">
        <v>103.88</v>
      </c>
      <c r="D331">
        <v>106.45686000000001</v>
      </c>
      <c r="E331" s="1">
        <v>45200</v>
      </c>
      <c r="F331">
        <f t="shared" si="10"/>
        <v>10</v>
      </c>
      <c r="G331">
        <f t="shared" si="11"/>
        <v>2023</v>
      </c>
    </row>
    <row r="332" spans="1:7" x14ac:dyDescent="0.25">
      <c r="A332" t="s">
        <v>5</v>
      </c>
      <c r="B332" t="s">
        <v>7</v>
      </c>
      <c r="C332">
        <v>107.29</v>
      </c>
      <c r="D332">
        <v>109.27807</v>
      </c>
      <c r="E332" s="1">
        <v>45231</v>
      </c>
      <c r="F332">
        <f t="shared" si="10"/>
        <v>11</v>
      </c>
      <c r="G332">
        <f t="shared" si="11"/>
        <v>2023</v>
      </c>
    </row>
    <row r="333" spans="1:7" x14ac:dyDescent="0.25">
      <c r="A333" t="s">
        <v>5</v>
      </c>
      <c r="B333" t="s">
        <v>7</v>
      </c>
      <c r="C333">
        <v>109.68</v>
      </c>
      <c r="D333">
        <v>125.38222</v>
      </c>
      <c r="E333" s="1">
        <v>45261</v>
      </c>
      <c r="F333">
        <f t="shared" si="10"/>
        <v>12</v>
      </c>
      <c r="G333">
        <f t="shared" si="11"/>
        <v>2023</v>
      </c>
    </row>
    <row r="334" spans="1:7" x14ac:dyDescent="0.25">
      <c r="A334" t="s">
        <v>5</v>
      </c>
      <c r="B334" t="s">
        <v>7</v>
      </c>
      <c r="C334">
        <v>108.02</v>
      </c>
      <c r="D334">
        <v>114.346</v>
      </c>
      <c r="E334" s="1">
        <v>45292</v>
      </c>
      <c r="F334">
        <f t="shared" si="10"/>
        <v>1</v>
      </c>
      <c r="G334">
        <f t="shared" si="11"/>
        <v>2024</v>
      </c>
    </row>
    <row r="335" spans="1:7" x14ac:dyDescent="0.25">
      <c r="A335" t="s">
        <v>5</v>
      </c>
      <c r="B335" t="s">
        <v>7</v>
      </c>
      <c r="C335">
        <v>107.46</v>
      </c>
      <c r="D335">
        <v>98.410709999999995</v>
      </c>
      <c r="E335" s="1">
        <v>45323</v>
      </c>
      <c r="F335">
        <f t="shared" si="10"/>
        <v>2</v>
      </c>
      <c r="G335">
        <f t="shared" si="11"/>
        <v>2024</v>
      </c>
    </row>
    <row r="336" spans="1:7" x14ac:dyDescent="0.25">
      <c r="A336" t="s">
        <v>5</v>
      </c>
      <c r="B336" t="s">
        <v>7</v>
      </c>
      <c r="C336">
        <v>107.03</v>
      </c>
      <c r="D336">
        <v>108.03429</v>
      </c>
      <c r="E336" s="1">
        <v>45352</v>
      </c>
      <c r="F336">
        <f t="shared" si="10"/>
        <v>3</v>
      </c>
      <c r="G336">
        <f t="shared" si="11"/>
        <v>2024</v>
      </c>
    </row>
    <row r="337" spans="1:7" x14ac:dyDescent="0.25">
      <c r="A337" t="s">
        <v>5</v>
      </c>
      <c r="B337" t="s">
        <v>7</v>
      </c>
      <c r="C337">
        <v>106.49</v>
      </c>
      <c r="D337">
        <v>100.04956</v>
      </c>
      <c r="E337" s="1">
        <v>45383</v>
      </c>
      <c r="F337">
        <f t="shared" si="10"/>
        <v>4</v>
      </c>
      <c r="G337">
        <f t="shared" si="11"/>
        <v>2024</v>
      </c>
    </row>
    <row r="338" spans="1:7" x14ac:dyDescent="0.25">
      <c r="A338" t="s">
        <v>5</v>
      </c>
      <c r="B338" t="s">
        <v>7</v>
      </c>
      <c r="C338">
        <v>108.76</v>
      </c>
      <c r="D338">
        <v>104.52464999999999</v>
      </c>
      <c r="E338" s="1">
        <v>45413</v>
      </c>
      <c r="F338">
        <f t="shared" si="10"/>
        <v>5</v>
      </c>
      <c r="G338">
        <f t="shared" si="11"/>
        <v>2024</v>
      </c>
    </row>
    <row r="339" spans="1:7" x14ac:dyDescent="0.25">
      <c r="A339" t="s">
        <v>5</v>
      </c>
      <c r="B339" t="s">
        <v>7</v>
      </c>
      <c r="C339">
        <v>110.06</v>
      </c>
      <c r="D339">
        <v>104.17368999999999</v>
      </c>
      <c r="E339" s="1">
        <v>45444</v>
      </c>
      <c r="F339">
        <f t="shared" si="10"/>
        <v>6</v>
      </c>
      <c r="G339">
        <f t="shared" si="11"/>
        <v>2024</v>
      </c>
    </row>
    <row r="340" spans="1:7" x14ac:dyDescent="0.25">
      <c r="A340" t="s">
        <v>5</v>
      </c>
      <c r="B340" t="s">
        <v>7</v>
      </c>
      <c r="C340">
        <v>111.07</v>
      </c>
      <c r="D340">
        <v>115.09074</v>
      </c>
      <c r="E340" s="1">
        <v>45474</v>
      </c>
      <c r="F340">
        <f t="shared" si="10"/>
        <v>7</v>
      </c>
      <c r="G340">
        <f t="shared" si="11"/>
        <v>2024</v>
      </c>
    </row>
    <row r="341" spans="1:7" x14ac:dyDescent="0.25">
      <c r="A341" t="s">
        <v>5</v>
      </c>
      <c r="B341" t="s">
        <v>7</v>
      </c>
      <c r="C341">
        <v>109.69</v>
      </c>
      <c r="D341">
        <v>107.00818</v>
      </c>
      <c r="E341" s="1">
        <v>45505</v>
      </c>
      <c r="F341">
        <f t="shared" si="10"/>
        <v>8</v>
      </c>
      <c r="G341">
        <f t="shared" si="11"/>
        <v>2024</v>
      </c>
    </row>
    <row r="342" spans="1:7" x14ac:dyDescent="0.25">
      <c r="A342" t="s">
        <v>5</v>
      </c>
      <c r="B342" t="s">
        <v>7</v>
      </c>
      <c r="C342">
        <v>110.75</v>
      </c>
      <c r="D342">
        <v>109.05683000000001</v>
      </c>
      <c r="E342" s="1">
        <v>45536</v>
      </c>
      <c r="F342">
        <f t="shared" si="10"/>
        <v>9</v>
      </c>
      <c r="G342">
        <f t="shared" si="11"/>
        <v>2024</v>
      </c>
    </row>
    <row r="343" spans="1:7" x14ac:dyDescent="0.25">
      <c r="A343" t="s">
        <v>5</v>
      </c>
      <c r="B343" t="s">
        <v>7</v>
      </c>
      <c r="C343">
        <v>110.38</v>
      </c>
      <c r="D343">
        <v>111.87083</v>
      </c>
      <c r="E343" s="1">
        <v>45566</v>
      </c>
      <c r="F343">
        <f t="shared" si="10"/>
        <v>10</v>
      </c>
      <c r="G343">
        <f t="shared" si="11"/>
        <v>2024</v>
      </c>
    </row>
    <row r="344" spans="1:7" x14ac:dyDescent="0.25">
      <c r="A344" t="s">
        <v>5</v>
      </c>
      <c r="B344" t="s">
        <v>7</v>
      </c>
      <c r="C344">
        <v>110.6</v>
      </c>
      <c r="D344">
        <v>114.89087000000001</v>
      </c>
      <c r="E344" s="1">
        <v>45597</v>
      </c>
      <c r="F344">
        <f t="shared" si="10"/>
        <v>11</v>
      </c>
      <c r="G344">
        <f t="shared" si="11"/>
        <v>2024</v>
      </c>
    </row>
    <row r="345" spans="1:7" x14ac:dyDescent="0.25">
      <c r="A345" t="s">
        <v>5</v>
      </c>
      <c r="B345" t="s">
        <v>7</v>
      </c>
      <c r="C345">
        <v>113.35</v>
      </c>
      <c r="D345">
        <v>128.48855</v>
      </c>
      <c r="E345" s="1">
        <v>45627</v>
      </c>
      <c r="F345">
        <f t="shared" si="10"/>
        <v>12</v>
      </c>
      <c r="G345">
        <f t="shared" si="11"/>
        <v>2024</v>
      </c>
    </row>
    <row r="346" spans="1:7" x14ac:dyDescent="0.25">
      <c r="A346" t="s">
        <v>5</v>
      </c>
      <c r="B346" t="s">
        <v>7</v>
      </c>
      <c r="C346">
        <v>109.09</v>
      </c>
      <c r="D346">
        <v>115.48611</v>
      </c>
      <c r="E346" s="1">
        <v>45658</v>
      </c>
      <c r="F346">
        <f t="shared" si="10"/>
        <v>1</v>
      </c>
      <c r="G346">
        <f t="shared" si="11"/>
        <v>2025</v>
      </c>
    </row>
    <row r="347" spans="1:7" x14ac:dyDescent="0.25">
      <c r="A347" t="s">
        <v>5</v>
      </c>
      <c r="B347" t="s">
        <v>7</v>
      </c>
      <c r="C347">
        <v>110.22</v>
      </c>
      <c r="D347">
        <v>98.296390000000002</v>
      </c>
      <c r="E347" s="1">
        <v>45689</v>
      </c>
      <c r="F347">
        <f t="shared" si="10"/>
        <v>2</v>
      </c>
      <c r="G347">
        <f t="shared" si="11"/>
        <v>2025</v>
      </c>
    </row>
    <row r="348" spans="1:7" x14ac:dyDescent="0.25">
      <c r="A348" t="s">
        <v>5</v>
      </c>
      <c r="B348" t="s">
        <v>7</v>
      </c>
      <c r="C348">
        <v>111.72</v>
      </c>
      <c r="D348">
        <v>112.07324</v>
      </c>
      <c r="E348" s="1">
        <v>45717</v>
      </c>
      <c r="F348">
        <f t="shared" si="10"/>
        <v>3</v>
      </c>
      <c r="G348">
        <f t="shared" si="11"/>
        <v>2025</v>
      </c>
    </row>
    <row r="349" spans="1:7" x14ac:dyDescent="0.25">
      <c r="A349" t="s">
        <v>5</v>
      </c>
      <c r="B349" t="s">
        <v>7</v>
      </c>
      <c r="C349">
        <v>111.1</v>
      </c>
      <c r="D349">
        <v>104.80901</v>
      </c>
      <c r="E349" s="1">
        <v>45748</v>
      </c>
      <c r="F349">
        <f t="shared" si="10"/>
        <v>4</v>
      </c>
      <c r="G349">
        <f t="shared" si="11"/>
        <v>2025</v>
      </c>
    </row>
    <row r="350" spans="1:7" x14ac:dyDescent="0.25">
      <c r="A350" t="s">
        <v>5</v>
      </c>
      <c r="B350" t="s">
        <v>7</v>
      </c>
      <c r="C350">
        <v>110.8</v>
      </c>
      <c r="D350">
        <v>107.47199000000001</v>
      </c>
      <c r="E350" s="1">
        <v>45778</v>
      </c>
      <c r="F350">
        <f t="shared" si="10"/>
        <v>5</v>
      </c>
      <c r="G350">
        <f t="shared" si="11"/>
        <v>2025</v>
      </c>
    </row>
    <row r="351" spans="1:7" x14ac:dyDescent="0.25">
      <c r="A351" t="s">
        <v>5</v>
      </c>
      <c r="B351" t="s">
        <v>7</v>
      </c>
      <c r="C351">
        <v>109.4</v>
      </c>
      <c r="D351">
        <v>103.19019</v>
      </c>
      <c r="E351" s="1">
        <v>45809</v>
      </c>
      <c r="F351">
        <f t="shared" si="10"/>
        <v>6</v>
      </c>
      <c r="G351">
        <f t="shared" si="11"/>
        <v>2025</v>
      </c>
    </row>
    <row r="352" spans="1:7" x14ac:dyDescent="0.25">
      <c r="A352" t="s">
        <v>5</v>
      </c>
      <c r="B352" t="s">
        <v>7</v>
      </c>
      <c r="C352">
        <v>109.76</v>
      </c>
      <c r="D352">
        <v>113.12538000000001</v>
      </c>
      <c r="E352" s="1">
        <v>45839</v>
      </c>
      <c r="F352">
        <f t="shared" si="10"/>
        <v>7</v>
      </c>
      <c r="G352">
        <f t="shared" si="11"/>
        <v>2025</v>
      </c>
    </row>
    <row r="353" spans="1:7" x14ac:dyDescent="0.25">
      <c r="A353" t="s">
        <v>5</v>
      </c>
      <c r="B353" t="s">
        <v>7</v>
      </c>
      <c r="C353">
        <v>110.89</v>
      </c>
      <c r="D353">
        <v>108.28099</v>
      </c>
      <c r="E353" s="1">
        <v>45870</v>
      </c>
      <c r="F353">
        <f t="shared" si="10"/>
        <v>8</v>
      </c>
      <c r="G353">
        <f t="shared" si="11"/>
        <v>2025</v>
      </c>
    </row>
    <row r="354" spans="1:7" x14ac:dyDescent="0.25">
      <c r="A354" t="s">
        <v>5</v>
      </c>
      <c r="B354" t="s">
        <v>8</v>
      </c>
      <c r="C354">
        <v>76.64</v>
      </c>
      <c r="D354">
        <v>73.403930000000003</v>
      </c>
      <c r="E354" s="1">
        <v>40544</v>
      </c>
      <c r="F354">
        <f t="shared" si="10"/>
        <v>1</v>
      </c>
      <c r="G354">
        <f t="shared" si="11"/>
        <v>2011</v>
      </c>
    </row>
    <row r="355" spans="1:7" x14ac:dyDescent="0.25">
      <c r="A355" t="s">
        <v>5</v>
      </c>
      <c r="B355" t="s">
        <v>8</v>
      </c>
      <c r="C355">
        <v>76.540000000000006</v>
      </c>
      <c r="D355">
        <v>73.001890000000003</v>
      </c>
      <c r="E355" s="1">
        <v>40575</v>
      </c>
      <c r="F355">
        <f t="shared" si="10"/>
        <v>2</v>
      </c>
      <c r="G355">
        <f t="shared" si="11"/>
        <v>2011</v>
      </c>
    </row>
    <row r="356" spans="1:7" x14ac:dyDescent="0.25">
      <c r="A356" t="s">
        <v>5</v>
      </c>
      <c r="B356" t="s">
        <v>8</v>
      </c>
      <c r="C356">
        <v>77.02</v>
      </c>
      <c r="D356">
        <v>76.851299999999995</v>
      </c>
      <c r="E356" s="1">
        <v>40603</v>
      </c>
      <c r="F356">
        <f t="shared" si="10"/>
        <v>3</v>
      </c>
      <c r="G356">
        <f t="shared" si="11"/>
        <v>2011</v>
      </c>
    </row>
    <row r="357" spans="1:7" x14ac:dyDescent="0.25">
      <c r="A357" t="s">
        <v>5</v>
      </c>
      <c r="B357" t="s">
        <v>8</v>
      </c>
      <c r="C357">
        <v>78</v>
      </c>
      <c r="D357">
        <v>75.950069999999997</v>
      </c>
      <c r="E357" s="1">
        <v>40634</v>
      </c>
      <c r="F357">
        <f t="shared" si="10"/>
        <v>4</v>
      </c>
      <c r="G357">
        <f t="shared" si="11"/>
        <v>2011</v>
      </c>
    </row>
    <row r="358" spans="1:7" x14ac:dyDescent="0.25">
      <c r="A358" t="s">
        <v>5</v>
      </c>
      <c r="B358" t="s">
        <v>8</v>
      </c>
      <c r="C358">
        <v>77.81</v>
      </c>
      <c r="D358">
        <v>77.319940000000003</v>
      </c>
      <c r="E358" s="1">
        <v>40664</v>
      </c>
      <c r="F358">
        <f t="shared" si="10"/>
        <v>5</v>
      </c>
      <c r="G358">
        <f t="shared" si="11"/>
        <v>2011</v>
      </c>
    </row>
    <row r="359" spans="1:7" x14ac:dyDescent="0.25">
      <c r="A359" t="s">
        <v>5</v>
      </c>
      <c r="B359" t="s">
        <v>8</v>
      </c>
      <c r="C359">
        <v>78.459999999999994</v>
      </c>
      <c r="D359">
        <v>78.764849999999996</v>
      </c>
      <c r="E359" s="1">
        <v>40695</v>
      </c>
      <c r="F359">
        <f t="shared" si="10"/>
        <v>6</v>
      </c>
      <c r="G359">
        <f t="shared" si="11"/>
        <v>2011</v>
      </c>
    </row>
    <row r="360" spans="1:7" x14ac:dyDescent="0.25">
      <c r="A360" t="s">
        <v>5</v>
      </c>
      <c r="B360" t="s">
        <v>8</v>
      </c>
      <c r="C360">
        <v>79.900000000000006</v>
      </c>
      <c r="D360">
        <v>78.139709999999994</v>
      </c>
      <c r="E360" s="1">
        <v>40725</v>
      </c>
      <c r="F360">
        <f t="shared" si="10"/>
        <v>7</v>
      </c>
      <c r="G360">
        <f t="shared" si="11"/>
        <v>2011</v>
      </c>
    </row>
    <row r="361" spans="1:7" x14ac:dyDescent="0.25">
      <c r="A361" t="s">
        <v>5</v>
      </c>
      <c r="B361" t="s">
        <v>8</v>
      </c>
      <c r="C361">
        <v>80.430000000000007</v>
      </c>
      <c r="D361">
        <v>80.048940000000002</v>
      </c>
      <c r="E361" s="1">
        <v>40756</v>
      </c>
      <c r="F361">
        <f t="shared" si="10"/>
        <v>8</v>
      </c>
      <c r="G361">
        <f t="shared" si="11"/>
        <v>2011</v>
      </c>
    </row>
    <row r="362" spans="1:7" x14ac:dyDescent="0.25">
      <c r="A362" t="s">
        <v>5</v>
      </c>
      <c r="B362" t="s">
        <v>8</v>
      </c>
      <c r="C362">
        <v>80.760000000000005</v>
      </c>
      <c r="D362">
        <v>81.251149999999996</v>
      </c>
      <c r="E362" s="1">
        <v>40787</v>
      </c>
      <c r="F362">
        <f t="shared" si="10"/>
        <v>9</v>
      </c>
      <c r="G362">
        <f t="shared" si="11"/>
        <v>2011</v>
      </c>
    </row>
    <row r="363" spans="1:7" x14ac:dyDescent="0.25">
      <c r="A363" t="s">
        <v>5</v>
      </c>
      <c r="B363" t="s">
        <v>8</v>
      </c>
      <c r="C363">
        <v>80.47</v>
      </c>
      <c r="D363">
        <v>80.385750000000002</v>
      </c>
      <c r="E363" s="1">
        <v>40817</v>
      </c>
      <c r="F363">
        <f t="shared" si="10"/>
        <v>10</v>
      </c>
      <c r="G363">
        <f t="shared" si="11"/>
        <v>2011</v>
      </c>
    </row>
    <row r="364" spans="1:7" x14ac:dyDescent="0.25">
      <c r="A364" t="s">
        <v>5</v>
      </c>
      <c r="B364" t="s">
        <v>8</v>
      </c>
      <c r="C364">
        <v>80.41</v>
      </c>
      <c r="D364">
        <v>82.085599999999999</v>
      </c>
      <c r="E364" s="1">
        <v>40848</v>
      </c>
      <c r="F364">
        <f t="shared" si="10"/>
        <v>11</v>
      </c>
      <c r="G364">
        <f t="shared" si="11"/>
        <v>2011</v>
      </c>
    </row>
    <row r="365" spans="1:7" x14ac:dyDescent="0.25">
      <c r="A365" t="s">
        <v>5</v>
      </c>
      <c r="B365" t="s">
        <v>8</v>
      </c>
      <c r="C365">
        <v>79.87</v>
      </c>
      <c r="D365">
        <v>88.704610000000002</v>
      </c>
      <c r="E365" s="1">
        <v>40878</v>
      </c>
      <c r="F365">
        <f t="shared" si="10"/>
        <v>12</v>
      </c>
      <c r="G365">
        <f t="shared" si="11"/>
        <v>2011</v>
      </c>
    </row>
    <row r="366" spans="1:7" x14ac:dyDescent="0.25">
      <c r="A366" t="s">
        <v>5</v>
      </c>
      <c r="B366" t="s">
        <v>8</v>
      </c>
      <c r="C366">
        <v>80.58</v>
      </c>
      <c r="D366">
        <v>77.981740000000002</v>
      </c>
      <c r="E366" s="1">
        <v>40909</v>
      </c>
      <c r="F366">
        <f t="shared" si="10"/>
        <v>1</v>
      </c>
      <c r="G366">
        <f t="shared" si="11"/>
        <v>2012</v>
      </c>
    </row>
    <row r="367" spans="1:7" x14ac:dyDescent="0.25">
      <c r="A367" t="s">
        <v>5</v>
      </c>
      <c r="B367" t="s">
        <v>8</v>
      </c>
      <c r="C367">
        <v>83.47</v>
      </c>
      <c r="D367">
        <v>78.670580000000001</v>
      </c>
      <c r="E367" s="1">
        <v>40940</v>
      </c>
      <c r="F367">
        <f t="shared" si="10"/>
        <v>2</v>
      </c>
      <c r="G367">
        <f t="shared" si="11"/>
        <v>2012</v>
      </c>
    </row>
    <row r="368" spans="1:7" x14ac:dyDescent="0.25">
      <c r="A368" t="s">
        <v>5</v>
      </c>
      <c r="B368" t="s">
        <v>8</v>
      </c>
      <c r="C368">
        <v>81.77</v>
      </c>
      <c r="D368">
        <v>82.535920000000004</v>
      </c>
      <c r="E368" s="1">
        <v>40969</v>
      </c>
      <c r="F368">
        <f t="shared" si="10"/>
        <v>3</v>
      </c>
      <c r="G368">
        <f t="shared" si="11"/>
        <v>2012</v>
      </c>
    </row>
    <row r="369" spans="1:7" x14ac:dyDescent="0.25">
      <c r="A369" t="s">
        <v>5</v>
      </c>
      <c r="B369" t="s">
        <v>8</v>
      </c>
      <c r="C369">
        <v>80.28</v>
      </c>
      <c r="D369">
        <v>78.013829999999999</v>
      </c>
      <c r="E369" s="1">
        <v>41000</v>
      </c>
      <c r="F369">
        <f t="shared" si="10"/>
        <v>4</v>
      </c>
      <c r="G369">
        <f t="shared" si="11"/>
        <v>2012</v>
      </c>
    </row>
    <row r="370" spans="1:7" x14ac:dyDescent="0.25">
      <c r="A370" t="s">
        <v>5</v>
      </c>
      <c r="B370" t="s">
        <v>8</v>
      </c>
      <c r="C370">
        <v>82.74</v>
      </c>
      <c r="D370">
        <v>82.578130000000002</v>
      </c>
      <c r="E370" s="1">
        <v>41030</v>
      </c>
      <c r="F370">
        <f t="shared" si="10"/>
        <v>5</v>
      </c>
      <c r="G370">
        <f t="shared" si="11"/>
        <v>2012</v>
      </c>
    </row>
    <row r="371" spans="1:7" x14ac:dyDescent="0.25">
      <c r="A371" t="s">
        <v>5</v>
      </c>
      <c r="B371" t="s">
        <v>8</v>
      </c>
      <c r="C371">
        <v>81.75</v>
      </c>
      <c r="D371">
        <v>81.960639999999998</v>
      </c>
      <c r="E371" s="1">
        <v>41061</v>
      </c>
      <c r="F371">
        <f t="shared" si="10"/>
        <v>6</v>
      </c>
      <c r="G371">
        <f t="shared" si="11"/>
        <v>2012</v>
      </c>
    </row>
    <row r="372" spans="1:7" x14ac:dyDescent="0.25">
      <c r="A372" t="s">
        <v>5</v>
      </c>
      <c r="B372" t="s">
        <v>8</v>
      </c>
      <c r="C372">
        <v>82.78</v>
      </c>
      <c r="D372">
        <v>81.251360000000005</v>
      </c>
      <c r="E372" s="1">
        <v>41091</v>
      </c>
      <c r="F372">
        <f t="shared" si="10"/>
        <v>7</v>
      </c>
      <c r="G372">
        <f t="shared" si="11"/>
        <v>2012</v>
      </c>
    </row>
    <row r="373" spans="1:7" x14ac:dyDescent="0.25">
      <c r="A373" t="s">
        <v>5</v>
      </c>
      <c r="B373" t="s">
        <v>8</v>
      </c>
      <c r="C373">
        <v>83.56</v>
      </c>
      <c r="D373">
        <v>83.320719999999994</v>
      </c>
      <c r="E373" s="1">
        <v>41122</v>
      </c>
      <c r="F373">
        <f t="shared" si="10"/>
        <v>8</v>
      </c>
      <c r="G373">
        <f t="shared" si="11"/>
        <v>2012</v>
      </c>
    </row>
    <row r="374" spans="1:7" x14ac:dyDescent="0.25">
      <c r="A374" t="s">
        <v>5</v>
      </c>
      <c r="B374" t="s">
        <v>8</v>
      </c>
      <c r="C374">
        <v>82.86</v>
      </c>
      <c r="D374">
        <v>82.372810000000001</v>
      </c>
      <c r="E374" s="1">
        <v>41153</v>
      </c>
      <c r="F374">
        <f t="shared" si="10"/>
        <v>9</v>
      </c>
      <c r="G374">
        <f t="shared" si="11"/>
        <v>2012</v>
      </c>
    </row>
    <row r="375" spans="1:7" x14ac:dyDescent="0.25">
      <c r="A375" t="s">
        <v>5</v>
      </c>
      <c r="B375" t="s">
        <v>8</v>
      </c>
      <c r="C375">
        <v>83.23</v>
      </c>
      <c r="D375">
        <v>84.044219999999996</v>
      </c>
      <c r="E375" s="1">
        <v>41183</v>
      </c>
      <c r="F375">
        <f t="shared" si="10"/>
        <v>10</v>
      </c>
      <c r="G375">
        <f t="shared" si="11"/>
        <v>2012</v>
      </c>
    </row>
    <row r="376" spans="1:7" x14ac:dyDescent="0.25">
      <c r="A376" t="s">
        <v>5</v>
      </c>
      <c r="B376" t="s">
        <v>8</v>
      </c>
      <c r="C376">
        <v>84.2</v>
      </c>
      <c r="D376">
        <v>85.947329999999994</v>
      </c>
      <c r="E376" s="1">
        <v>41214</v>
      </c>
      <c r="F376">
        <f t="shared" si="10"/>
        <v>11</v>
      </c>
      <c r="G376">
        <f t="shared" si="11"/>
        <v>2012</v>
      </c>
    </row>
    <row r="377" spans="1:7" x14ac:dyDescent="0.25">
      <c r="A377" t="s">
        <v>5</v>
      </c>
      <c r="B377" t="s">
        <v>8</v>
      </c>
      <c r="C377">
        <v>85.58</v>
      </c>
      <c r="D377">
        <v>93.768900000000002</v>
      </c>
      <c r="E377" s="1">
        <v>41244</v>
      </c>
      <c r="F377">
        <f t="shared" si="10"/>
        <v>12</v>
      </c>
      <c r="G377">
        <f t="shared" si="11"/>
        <v>2012</v>
      </c>
    </row>
    <row r="378" spans="1:7" x14ac:dyDescent="0.25">
      <c r="A378" t="s">
        <v>5</v>
      </c>
      <c r="B378" t="s">
        <v>8</v>
      </c>
      <c r="C378">
        <v>84.87</v>
      </c>
      <c r="D378">
        <v>82.623559999999998</v>
      </c>
      <c r="E378" s="1">
        <v>41275</v>
      </c>
      <c r="F378">
        <f t="shared" si="10"/>
        <v>1</v>
      </c>
      <c r="G378">
        <f t="shared" si="11"/>
        <v>2013</v>
      </c>
    </row>
    <row r="379" spans="1:7" x14ac:dyDescent="0.25">
      <c r="A379" t="s">
        <v>5</v>
      </c>
      <c r="B379" t="s">
        <v>8</v>
      </c>
      <c r="C379">
        <v>85.96</v>
      </c>
      <c r="D379">
        <v>81.277199999999993</v>
      </c>
      <c r="E379" s="1">
        <v>41306</v>
      </c>
      <c r="F379">
        <f t="shared" si="10"/>
        <v>2</v>
      </c>
      <c r="G379">
        <f t="shared" si="11"/>
        <v>2013</v>
      </c>
    </row>
    <row r="380" spans="1:7" x14ac:dyDescent="0.25">
      <c r="A380" t="s">
        <v>5</v>
      </c>
      <c r="B380" t="s">
        <v>8</v>
      </c>
      <c r="C380">
        <v>85.55</v>
      </c>
      <c r="D380">
        <v>85.751739999999998</v>
      </c>
      <c r="E380" s="1">
        <v>41334</v>
      </c>
      <c r="F380">
        <f t="shared" si="10"/>
        <v>3</v>
      </c>
      <c r="G380">
        <f t="shared" si="11"/>
        <v>2013</v>
      </c>
    </row>
    <row r="381" spans="1:7" x14ac:dyDescent="0.25">
      <c r="A381" t="s">
        <v>5</v>
      </c>
      <c r="B381" t="s">
        <v>8</v>
      </c>
      <c r="C381">
        <v>86.77</v>
      </c>
      <c r="D381">
        <v>85.155370000000005</v>
      </c>
      <c r="E381" s="1">
        <v>41365</v>
      </c>
      <c r="F381">
        <f t="shared" si="10"/>
        <v>4</v>
      </c>
      <c r="G381">
        <f t="shared" si="11"/>
        <v>2013</v>
      </c>
    </row>
    <row r="382" spans="1:7" x14ac:dyDescent="0.25">
      <c r="A382" t="s">
        <v>5</v>
      </c>
      <c r="B382" t="s">
        <v>8</v>
      </c>
      <c r="C382">
        <v>86.74</v>
      </c>
      <c r="D382">
        <v>86.635750000000002</v>
      </c>
      <c r="E382" s="1">
        <v>41395</v>
      </c>
      <c r="F382">
        <f t="shared" si="10"/>
        <v>5</v>
      </c>
      <c r="G382">
        <f t="shared" si="11"/>
        <v>2013</v>
      </c>
    </row>
    <row r="383" spans="1:7" x14ac:dyDescent="0.25">
      <c r="A383" t="s">
        <v>5</v>
      </c>
      <c r="B383" t="s">
        <v>8</v>
      </c>
      <c r="C383">
        <v>87.53</v>
      </c>
      <c r="D383">
        <v>87.389089999999996</v>
      </c>
      <c r="E383" s="1">
        <v>41426</v>
      </c>
      <c r="F383">
        <f t="shared" si="10"/>
        <v>6</v>
      </c>
      <c r="G383">
        <f t="shared" si="11"/>
        <v>2013</v>
      </c>
    </row>
    <row r="384" spans="1:7" x14ac:dyDescent="0.25">
      <c r="A384" t="s">
        <v>5</v>
      </c>
      <c r="B384" t="s">
        <v>8</v>
      </c>
      <c r="C384">
        <v>88.18</v>
      </c>
      <c r="D384">
        <v>86.801969999999997</v>
      </c>
      <c r="E384" s="1">
        <v>41456</v>
      </c>
      <c r="F384">
        <f t="shared" si="10"/>
        <v>7</v>
      </c>
      <c r="G384">
        <f t="shared" si="11"/>
        <v>2013</v>
      </c>
    </row>
    <row r="385" spans="1:7" x14ac:dyDescent="0.25">
      <c r="A385" t="s">
        <v>5</v>
      </c>
      <c r="B385" t="s">
        <v>8</v>
      </c>
      <c r="C385">
        <v>87.82</v>
      </c>
      <c r="D385">
        <v>87.170209999999997</v>
      </c>
      <c r="E385" s="1">
        <v>41487</v>
      </c>
      <c r="F385">
        <f t="shared" si="10"/>
        <v>8</v>
      </c>
      <c r="G385">
        <f t="shared" si="11"/>
        <v>2013</v>
      </c>
    </row>
    <row r="386" spans="1:7" x14ac:dyDescent="0.25">
      <c r="A386" t="s">
        <v>5</v>
      </c>
      <c r="B386" t="s">
        <v>8</v>
      </c>
      <c r="C386">
        <v>89.04</v>
      </c>
      <c r="D386">
        <v>89.001599999999996</v>
      </c>
      <c r="E386" s="1">
        <v>41518</v>
      </c>
      <c r="F386">
        <f t="shared" ref="F386:F449" si="12">MONTH(E386)</f>
        <v>9</v>
      </c>
      <c r="G386">
        <f t="shared" ref="G386:G449" si="13">YEAR(E386)</f>
        <v>2013</v>
      </c>
    </row>
    <row r="387" spans="1:7" x14ac:dyDescent="0.25">
      <c r="A387" t="s">
        <v>5</v>
      </c>
      <c r="B387" t="s">
        <v>8</v>
      </c>
      <c r="C387">
        <v>90.05</v>
      </c>
      <c r="D387">
        <v>90.835120000000003</v>
      </c>
      <c r="E387" s="1">
        <v>41548</v>
      </c>
      <c r="F387">
        <f t="shared" si="12"/>
        <v>10</v>
      </c>
      <c r="G387">
        <f t="shared" si="13"/>
        <v>2013</v>
      </c>
    </row>
    <row r="388" spans="1:7" x14ac:dyDescent="0.25">
      <c r="A388" t="s">
        <v>5</v>
      </c>
      <c r="B388" t="s">
        <v>8</v>
      </c>
      <c r="C388">
        <v>90.76</v>
      </c>
      <c r="D388">
        <v>91.905590000000004</v>
      </c>
      <c r="E388" s="1">
        <v>41579</v>
      </c>
      <c r="F388">
        <f t="shared" si="12"/>
        <v>11</v>
      </c>
      <c r="G388">
        <f t="shared" si="13"/>
        <v>2013</v>
      </c>
    </row>
    <row r="389" spans="1:7" x14ac:dyDescent="0.25">
      <c r="A389" t="s">
        <v>5</v>
      </c>
      <c r="B389" t="s">
        <v>8</v>
      </c>
      <c r="C389">
        <v>90.9</v>
      </c>
      <c r="D389">
        <v>99.766739999999999</v>
      </c>
      <c r="E389" s="1">
        <v>41609</v>
      </c>
      <c r="F389">
        <f t="shared" si="12"/>
        <v>12</v>
      </c>
      <c r="G389">
        <f t="shared" si="13"/>
        <v>2013</v>
      </c>
    </row>
    <row r="390" spans="1:7" x14ac:dyDescent="0.25">
      <c r="A390" t="s">
        <v>5</v>
      </c>
      <c r="B390" t="s">
        <v>8</v>
      </c>
      <c r="C390">
        <v>91.84</v>
      </c>
      <c r="D390">
        <v>89.721230000000006</v>
      </c>
      <c r="E390" s="1">
        <v>41640</v>
      </c>
      <c r="F390">
        <f t="shared" si="12"/>
        <v>1</v>
      </c>
      <c r="G390">
        <f t="shared" si="13"/>
        <v>2014</v>
      </c>
    </row>
    <row r="391" spans="1:7" x14ac:dyDescent="0.25">
      <c r="A391" t="s">
        <v>5</v>
      </c>
      <c r="B391" t="s">
        <v>8</v>
      </c>
      <c r="C391">
        <v>90.22</v>
      </c>
      <c r="D391">
        <v>86.607209999999995</v>
      </c>
      <c r="E391" s="1">
        <v>41671</v>
      </c>
      <c r="F391">
        <f t="shared" si="12"/>
        <v>2</v>
      </c>
      <c r="G391">
        <f t="shared" si="13"/>
        <v>2014</v>
      </c>
    </row>
    <row r="392" spans="1:7" x14ac:dyDescent="0.25">
      <c r="A392" t="s">
        <v>5</v>
      </c>
      <c r="B392" t="s">
        <v>8</v>
      </c>
      <c r="C392">
        <v>92.19</v>
      </c>
      <c r="D392">
        <v>91.364329999999995</v>
      </c>
      <c r="E392" s="1">
        <v>41699</v>
      </c>
      <c r="F392">
        <f t="shared" si="12"/>
        <v>3</v>
      </c>
      <c r="G392">
        <f t="shared" si="13"/>
        <v>2014</v>
      </c>
    </row>
    <row r="393" spans="1:7" x14ac:dyDescent="0.25">
      <c r="A393" t="s">
        <v>5</v>
      </c>
      <c r="B393" t="s">
        <v>8</v>
      </c>
      <c r="C393">
        <v>91.44</v>
      </c>
      <c r="D393">
        <v>89.486189999999993</v>
      </c>
      <c r="E393" s="1">
        <v>41730</v>
      </c>
      <c r="F393">
        <f t="shared" si="12"/>
        <v>4</v>
      </c>
      <c r="G393">
        <f t="shared" si="13"/>
        <v>2014</v>
      </c>
    </row>
    <row r="394" spans="1:7" x14ac:dyDescent="0.25">
      <c r="A394" t="s">
        <v>5</v>
      </c>
      <c r="B394" t="s">
        <v>8</v>
      </c>
      <c r="C394">
        <v>91.88</v>
      </c>
      <c r="D394">
        <v>91.409760000000006</v>
      </c>
      <c r="E394" s="1">
        <v>41760</v>
      </c>
      <c r="F394">
        <f t="shared" si="12"/>
        <v>5</v>
      </c>
      <c r="G394">
        <f t="shared" si="13"/>
        <v>2014</v>
      </c>
    </row>
    <row r="395" spans="1:7" x14ac:dyDescent="0.25">
      <c r="A395" t="s">
        <v>5</v>
      </c>
      <c r="B395" t="s">
        <v>8</v>
      </c>
      <c r="C395">
        <v>93.06</v>
      </c>
      <c r="D395">
        <v>93.422389999999993</v>
      </c>
      <c r="E395" s="1">
        <v>41791</v>
      </c>
      <c r="F395">
        <f t="shared" si="12"/>
        <v>6</v>
      </c>
      <c r="G395">
        <f t="shared" si="13"/>
        <v>2014</v>
      </c>
    </row>
    <row r="396" spans="1:7" x14ac:dyDescent="0.25">
      <c r="A396" t="s">
        <v>5</v>
      </c>
      <c r="B396" t="s">
        <v>8</v>
      </c>
      <c r="C396">
        <v>91.61</v>
      </c>
      <c r="D396">
        <v>90.300200000000004</v>
      </c>
      <c r="E396" s="1">
        <v>41821</v>
      </c>
      <c r="F396">
        <f t="shared" si="12"/>
        <v>7</v>
      </c>
      <c r="G396">
        <f t="shared" si="13"/>
        <v>2014</v>
      </c>
    </row>
    <row r="397" spans="1:7" x14ac:dyDescent="0.25">
      <c r="A397" t="s">
        <v>5</v>
      </c>
      <c r="B397" t="s">
        <v>8</v>
      </c>
      <c r="C397">
        <v>91.13</v>
      </c>
      <c r="D397">
        <v>90.212729999999993</v>
      </c>
      <c r="E397" s="1">
        <v>41852</v>
      </c>
      <c r="F397">
        <f t="shared" si="12"/>
        <v>8</v>
      </c>
      <c r="G397">
        <f t="shared" si="13"/>
        <v>2014</v>
      </c>
    </row>
    <row r="398" spans="1:7" x14ac:dyDescent="0.25">
      <c r="A398" t="s">
        <v>5</v>
      </c>
      <c r="B398" t="s">
        <v>8</v>
      </c>
      <c r="C398">
        <v>92.54</v>
      </c>
      <c r="D398">
        <v>93.023769999999999</v>
      </c>
      <c r="E398" s="1">
        <v>41883</v>
      </c>
      <c r="F398">
        <f t="shared" si="12"/>
        <v>9</v>
      </c>
      <c r="G398">
        <f t="shared" si="13"/>
        <v>2014</v>
      </c>
    </row>
    <row r="399" spans="1:7" x14ac:dyDescent="0.25">
      <c r="A399" t="s">
        <v>5</v>
      </c>
      <c r="B399" t="s">
        <v>8</v>
      </c>
      <c r="C399">
        <v>93.78</v>
      </c>
      <c r="D399">
        <v>94.42577</v>
      </c>
      <c r="E399" s="1">
        <v>41913</v>
      </c>
      <c r="F399">
        <f t="shared" si="12"/>
        <v>10</v>
      </c>
      <c r="G399">
        <f t="shared" si="13"/>
        <v>2014</v>
      </c>
    </row>
    <row r="400" spans="1:7" x14ac:dyDescent="0.25">
      <c r="A400" t="s">
        <v>5</v>
      </c>
      <c r="B400" t="s">
        <v>8</v>
      </c>
      <c r="C400">
        <v>94.38</v>
      </c>
      <c r="D400">
        <v>94.868930000000006</v>
      </c>
      <c r="E400" s="1">
        <v>41944</v>
      </c>
      <c r="F400">
        <f t="shared" si="12"/>
        <v>11</v>
      </c>
      <c r="G400">
        <f t="shared" si="13"/>
        <v>2014</v>
      </c>
    </row>
    <row r="401" spans="1:7" x14ac:dyDescent="0.25">
      <c r="A401" t="s">
        <v>5</v>
      </c>
      <c r="B401" t="s">
        <v>8</v>
      </c>
      <c r="C401">
        <v>90.75</v>
      </c>
      <c r="D401">
        <v>99.860500000000002</v>
      </c>
      <c r="E401" s="1">
        <v>41974</v>
      </c>
      <c r="F401">
        <f t="shared" si="12"/>
        <v>12</v>
      </c>
      <c r="G401">
        <f t="shared" si="13"/>
        <v>2014</v>
      </c>
    </row>
    <row r="402" spans="1:7" x14ac:dyDescent="0.25">
      <c r="A402" t="s">
        <v>5</v>
      </c>
      <c r="B402" t="s">
        <v>8</v>
      </c>
      <c r="C402">
        <v>92.33</v>
      </c>
      <c r="D402">
        <v>89.912869999999998</v>
      </c>
      <c r="E402" s="1">
        <v>42005</v>
      </c>
      <c r="F402">
        <f t="shared" si="12"/>
        <v>1</v>
      </c>
      <c r="G402">
        <f t="shared" si="13"/>
        <v>2015</v>
      </c>
    </row>
    <row r="403" spans="1:7" x14ac:dyDescent="0.25">
      <c r="A403" t="s">
        <v>5</v>
      </c>
      <c r="B403" t="s">
        <v>8</v>
      </c>
      <c r="C403">
        <v>94.05</v>
      </c>
      <c r="D403">
        <v>89.493880000000004</v>
      </c>
      <c r="E403" s="1">
        <v>42036</v>
      </c>
      <c r="F403">
        <f t="shared" si="12"/>
        <v>2</v>
      </c>
      <c r="G403">
        <f t="shared" si="13"/>
        <v>2015</v>
      </c>
    </row>
    <row r="404" spans="1:7" x14ac:dyDescent="0.25">
      <c r="A404" t="s">
        <v>5</v>
      </c>
      <c r="B404" t="s">
        <v>8</v>
      </c>
      <c r="C404">
        <v>95.38</v>
      </c>
      <c r="D404">
        <v>96.144490000000005</v>
      </c>
      <c r="E404" s="1">
        <v>42064</v>
      </c>
      <c r="F404">
        <f t="shared" si="12"/>
        <v>3</v>
      </c>
      <c r="G404">
        <f t="shared" si="13"/>
        <v>2015</v>
      </c>
    </row>
    <row r="405" spans="1:7" x14ac:dyDescent="0.25">
      <c r="A405" t="s">
        <v>5</v>
      </c>
      <c r="B405" t="s">
        <v>8</v>
      </c>
      <c r="C405">
        <v>92.59</v>
      </c>
      <c r="D405">
        <v>90.39958</v>
      </c>
      <c r="E405" s="1">
        <v>42095</v>
      </c>
      <c r="F405">
        <f t="shared" si="12"/>
        <v>4</v>
      </c>
      <c r="G405">
        <f t="shared" si="13"/>
        <v>2015</v>
      </c>
    </row>
    <row r="406" spans="1:7" x14ac:dyDescent="0.25">
      <c r="A406" t="s">
        <v>5</v>
      </c>
      <c r="B406" t="s">
        <v>8</v>
      </c>
      <c r="C406">
        <v>92.56</v>
      </c>
      <c r="D406">
        <v>91.825649999999996</v>
      </c>
      <c r="E406" s="1">
        <v>42125</v>
      </c>
      <c r="F406">
        <f t="shared" si="12"/>
        <v>5</v>
      </c>
      <c r="G406">
        <f t="shared" si="13"/>
        <v>2015</v>
      </c>
    </row>
    <row r="407" spans="1:7" x14ac:dyDescent="0.25">
      <c r="A407" t="s">
        <v>5</v>
      </c>
      <c r="B407" t="s">
        <v>8</v>
      </c>
      <c r="C407">
        <v>91.64</v>
      </c>
      <c r="D407">
        <v>92.650739999999999</v>
      </c>
      <c r="E407" s="1">
        <v>42156</v>
      </c>
      <c r="F407">
        <f t="shared" si="12"/>
        <v>6</v>
      </c>
      <c r="G407">
        <f t="shared" si="13"/>
        <v>2015</v>
      </c>
    </row>
    <row r="408" spans="1:7" x14ac:dyDescent="0.25">
      <c r="A408" t="s">
        <v>5</v>
      </c>
      <c r="B408" t="s">
        <v>8</v>
      </c>
      <c r="C408">
        <v>91.36</v>
      </c>
      <c r="D408">
        <v>90.113669999999999</v>
      </c>
      <c r="E408" s="1">
        <v>42186</v>
      </c>
      <c r="F408">
        <f t="shared" si="12"/>
        <v>7</v>
      </c>
      <c r="G408">
        <f t="shared" si="13"/>
        <v>2015</v>
      </c>
    </row>
    <row r="409" spans="1:7" x14ac:dyDescent="0.25">
      <c r="A409" t="s">
        <v>5</v>
      </c>
      <c r="B409" t="s">
        <v>8</v>
      </c>
      <c r="C409">
        <v>91.58</v>
      </c>
      <c r="D409">
        <v>90.414699999999996</v>
      </c>
      <c r="E409" s="1">
        <v>42217</v>
      </c>
      <c r="F409">
        <f t="shared" si="12"/>
        <v>8</v>
      </c>
      <c r="G409">
        <f t="shared" si="13"/>
        <v>2015</v>
      </c>
    </row>
    <row r="410" spans="1:7" x14ac:dyDescent="0.25">
      <c r="A410" t="s">
        <v>5</v>
      </c>
      <c r="B410" t="s">
        <v>8</v>
      </c>
      <c r="C410">
        <v>91.87</v>
      </c>
      <c r="D410">
        <v>92.420069999999996</v>
      </c>
      <c r="E410" s="1">
        <v>42248</v>
      </c>
      <c r="F410">
        <f t="shared" si="12"/>
        <v>9</v>
      </c>
      <c r="G410">
        <f t="shared" si="13"/>
        <v>2015</v>
      </c>
    </row>
    <row r="411" spans="1:7" x14ac:dyDescent="0.25">
      <c r="A411" t="s">
        <v>5</v>
      </c>
      <c r="B411" t="s">
        <v>8</v>
      </c>
      <c r="C411">
        <v>91.44</v>
      </c>
      <c r="D411">
        <v>91.371639999999999</v>
      </c>
      <c r="E411" s="1">
        <v>42278</v>
      </c>
      <c r="F411">
        <f t="shared" si="12"/>
        <v>10</v>
      </c>
      <c r="G411">
        <f t="shared" si="13"/>
        <v>2015</v>
      </c>
    </row>
    <row r="412" spans="1:7" x14ac:dyDescent="0.25">
      <c r="A412" t="s">
        <v>5</v>
      </c>
      <c r="B412" t="s">
        <v>8</v>
      </c>
      <c r="C412">
        <v>90.04</v>
      </c>
      <c r="D412">
        <v>90.794179999999997</v>
      </c>
      <c r="E412" s="1">
        <v>42309</v>
      </c>
      <c r="F412">
        <f t="shared" si="12"/>
        <v>11</v>
      </c>
      <c r="G412">
        <f t="shared" si="13"/>
        <v>2015</v>
      </c>
    </row>
    <row r="413" spans="1:7" x14ac:dyDescent="0.25">
      <c r="A413" t="s">
        <v>5</v>
      </c>
      <c r="B413" t="s">
        <v>8</v>
      </c>
      <c r="C413">
        <v>90.17</v>
      </c>
      <c r="D413">
        <v>99.481160000000003</v>
      </c>
      <c r="E413" s="1">
        <v>42339</v>
      </c>
      <c r="F413">
        <f t="shared" si="12"/>
        <v>12</v>
      </c>
      <c r="G413">
        <f t="shared" si="13"/>
        <v>2015</v>
      </c>
    </row>
    <row r="414" spans="1:7" x14ac:dyDescent="0.25">
      <c r="A414" t="s">
        <v>5</v>
      </c>
      <c r="B414" t="s">
        <v>8</v>
      </c>
      <c r="C414">
        <v>90.76</v>
      </c>
      <c r="D414">
        <v>88.052480000000003</v>
      </c>
      <c r="E414" s="1">
        <v>42370</v>
      </c>
      <c r="F414">
        <f t="shared" si="12"/>
        <v>1</v>
      </c>
      <c r="G414">
        <f t="shared" si="13"/>
        <v>2016</v>
      </c>
    </row>
    <row r="415" spans="1:7" x14ac:dyDescent="0.25">
      <c r="A415" t="s">
        <v>5</v>
      </c>
      <c r="B415" t="s">
        <v>8</v>
      </c>
      <c r="C415">
        <v>89.53</v>
      </c>
      <c r="D415">
        <v>84.938069999999996</v>
      </c>
      <c r="E415" s="1">
        <v>42401</v>
      </c>
      <c r="F415">
        <f t="shared" si="12"/>
        <v>2</v>
      </c>
      <c r="G415">
        <f t="shared" si="13"/>
        <v>2016</v>
      </c>
    </row>
    <row r="416" spans="1:7" x14ac:dyDescent="0.25">
      <c r="A416" t="s">
        <v>5</v>
      </c>
      <c r="B416" t="s">
        <v>8</v>
      </c>
      <c r="C416">
        <v>89.71</v>
      </c>
      <c r="D416">
        <v>90.497439999999997</v>
      </c>
      <c r="E416" s="1">
        <v>42430</v>
      </c>
      <c r="F416">
        <f t="shared" si="12"/>
        <v>3</v>
      </c>
      <c r="G416">
        <f t="shared" si="13"/>
        <v>2016</v>
      </c>
    </row>
    <row r="417" spans="1:7" x14ac:dyDescent="0.25">
      <c r="A417" t="s">
        <v>5</v>
      </c>
      <c r="B417" t="s">
        <v>8</v>
      </c>
      <c r="C417">
        <v>89.82</v>
      </c>
      <c r="D417">
        <v>87.703710000000001</v>
      </c>
      <c r="E417" s="1">
        <v>42461</v>
      </c>
      <c r="F417">
        <f t="shared" si="12"/>
        <v>4</v>
      </c>
      <c r="G417">
        <f t="shared" si="13"/>
        <v>2016</v>
      </c>
    </row>
    <row r="418" spans="1:7" x14ac:dyDescent="0.25">
      <c r="A418" t="s">
        <v>5</v>
      </c>
      <c r="B418" t="s">
        <v>8</v>
      </c>
      <c r="C418">
        <v>89.96</v>
      </c>
      <c r="D418">
        <v>89.42962</v>
      </c>
      <c r="E418" s="1">
        <v>42491</v>
      </c>
      <c r="F418">
        <f t="shared" si="12"/>
        <v>5</v>
      </c>
      <c r="G418">
        <f t="shared" si="13"/>
        <v>2016</v>
      </c>
    </row>
    <row r="419" spans="1:7" x14ac:dyDescent="0.25">
      <c r="A419" t="s">
        <v>5</v>
      </c>
      <c r="B419" t="s">
        <v>8</v>
      </c>
      <c r="C419">
        <v>90.1</v>
      </c>
      <c r="D419">
        <v>91.143079999999998</v>
      </c>
      <c r="E419" s="1">
        <v>42522</v>
      </c>
      <c r="F419">
        <f t="shared" si="12"/>
        <v>6</v>
      </c>
      <c r="G419">
        <f t="shared" si="13"/>
        <v>2016</v>
      </c>
    </row>
    <row r="420" spans="1:7" x14ac:dyDescent="0.25">
      <c r="A420" t="s">
        <v>5</v>
      </c>
      <c r="B420" t="s">
        <v>8</v>
      </c>
      <c r="C420">
        <v>90.68</v>
      </c>
      <c r="D420">
        <v>88.756280000000004</v>
      </c>
      <c r="E420" s="1">
        <v>42552</v>
      </c>
      <c r="F420">
        <f t="shared" si="12"/>
        <v>7</v>
      </c>
      <c r="G420">
        <f t="shared" si="13"/>
        <v>2016</v>
      </c>
    </row>
    <row r="421" spans="1:7" x14ac:dyDescent="0.25">
      <c r="A421" t="s">
        <v>5</v>
      </c>
      <c r="B421" t="s">
        <v>8</v>
      </c>
      <c r="C421">
        <v>90.37</v>
      </c>
      <c r="D421">
        <v>90.217370000000003</v>
      </c>
      <c r="E421" s="1">
        <v>42583</v>
      </c>
      <c r="F421">
        <f t="shared" si="12"/>
        <v>8</v>
      </c>
      <c r="G421">
        <f t="shared" si="13"/>
        <v>2016</v>
      </c>
    </row>
    <row r="422" spans="1:7" x14ac:dyDescent="0.25">
      <c r="A422" t="s">
        <v>5</v>
      </c>
      <c r="B422" t="s">
        <v>8</v>
      </c>
      <c r="C422">
        <v>89.93</v>
      </c>
      <c r="D422">
        <v>90.670249999999996</v>
      </c>
      <c r="E422" s="1">
        <v>42614</v>
      </c>
      <c r="F422">
        <f t="shared" si="12"/>
        <v>9</v>
      </c>
      <c r="G422">
        <f t="shared" si="13"/>
        <v>2016</v>
      </c>
    </row>
    <row r="423" spans="1:7" x14ac:dyDescent="0.25">
      <c r="A423" t="s">
        <v>5</v>
      </c>
      <c r="B423" t="s">
        <v>8</v>
      </c>
      <c r="C423">
        <v>88.31</v>
      </c>
      <c r="D423">
        <v>87.371759999999995</v>
      </c>
      <c r="E423" s="1">
        <v>42644</v>
      </c>
      <c r="F423">
        <f t="shared" si="12"/>
        <v>10</v>
      </c>
      <c r="G423">
        <f t="shared" si="13"/>
        <v>2016</v>
      </c>
    </row>
    <row r="424" spans="1:7" x14ac:dyDescent="0.25">
      <c r="A424" t="s">
        <v>5</v>
      </c>
      <c r="B424" t="s">
        <v>8</v>
      </c>
      <c r="C424">
        <v>86.91</v>
      </c>
      <c r="D424">
        <v>88.061589999999995</v>
      </c>
      <c r="E424" s="1">
        <v>42675</v>
      </c>
      <c r="F424">
        <f t="shared" si="12"/>
        <v>11</v>
      </c>
      <c r="G424">
        <f t="shared" si="13"/>
        <v>2016</v>
      </c>
    </row>
    <row r="425" spans="1:7" x14ac:dyDescent="0.25">
      <c r="A425" t="s">
        <v>5</v>
      </c>
      <c r="B425" t="s">
        <v>8</v>
      </c>
      <c r="C425">
        <v>83.84</v>
      </c>
      <c r="D425">
        <v>92.993690000000001</v>
      </c>
      <c r="E425" s="1">
        <v>42705</v>
      </c>
      <c r="F425">
        <f t="shared" si="12"/>
        <v>12</v>
      </c>
      <c r="G425">
        <f t="shared" si="13"/>
        <v>2016</v>
      </c>
    </row>
    <row r="426" spans="1:7" x14ac:dyDescent="0.25">
      <c r="A426" t="s">
        <v>5</v>
      </c>
      <c r="B426" t="s">
        <v>8</v>
      </c>
      <c r="C426">
        <v>90.32</v>
      </c>
      <c r="D426">
        <v>87.906670000000005</v>
      </c>
      <c r="E426" s="1">
        <v>42736</v>
      </c>
      <c r="F426">
        <f t="shared" si="12"/>
        <v>1</v>
      </c>
      <c r="G426">
        <f t="shared" si="13"/>
        <v>2017</v>
      </c>
    </row>
    <row r="427" spans="1:7" x14ac:dyDescent="0.25">
      <c r="A427" t="s">
        <v>5</v>
      </c>
      <c r="B427" t="s">
        <v>8</v>
      </c>
      <c r="C427">
        <v>89.94</v>
      </c>
      <c r="D427">
        <v>85.332920000000001</v>
      </c>
      <c r="E427" s="1">
        <v>42767</v>
      </c>
      <c r="F427">
        <f t="shared" si="12"/>
        <v>2</v>
      </c>
      <c r="G427">
        <f t="shared" si="13"/>
        <v>2017</v>
      </c>
    </row>
    <row r="428" spans="1:7" x14ac:dyDescent="0.25">
      <c r="A428" t="s">
        <v>5</v>
      </c>
      <c r="B428" t="s">
        <v>8</v>
      </c>
      <c r="C428">
        <v>87.48</v>
      </c>
      <c r="D428">
        <v>88.646739999999994</v>
      </c>
      <c r="E428" s="1">
        <v>42795</v>
      </c>
      <c r="F428">
        <f t="shared" si="12"/>
        <v>3</v>
      </c>
      <c r="G428">
        <f t="shared" si="13"/>
        <v>2017</v>
      </c>
    </row>
    <row r="429" spans="1:7" x14ac:dyDescent="0.25">
      <c r="A429" t="s">
        <v>5</v>
      </c>
      <c r="B429" t="s">
        <v>8</v>
      </c>
      <c r="C429">
        <v>88.51</v>
      </c>
      <c r="D429">
        <v>85.462479999999999</v>
      </c>
      <c r="E429" s="1">
        <v>42826</v>
      </c>
      <c r="F429">
        <f t="shared" si="12"/>
        <v>4</v>
      </c>
      <c r="G429">
        <f t="shared" si="13"/>
        <v>2017</v>
      </c>
    </row>
    <row r="430" spans="1:7" x14ac:dyDescent="0.25">
      <c r="A430" t="s">
        <v>5</v>
      </c>
      <c r="B430" t="s">
        <v>8</v>
      </c>
      <c r="C430">
        <v>86.97</v>
      </c>
      <c r="D430">
        <v>86.906869999999998</v>
      </c>
      <c r="E430" s="1">
        <v>42856</v>
      </c>
      <c r="F430">
        <f t="shared" si="12"/>
        <v>5</v>
      </c>
      <c r="G430">
        <f t="shared" si="13"/>
        <v>2017</v>
      </c>
    </row>
    <row r="431" spans="1:7" x14ac:dyDescent="0.25">
      <c r="A431" t="s">
        <v>5</v>
      </c>
      <c r="B431" t="s">
        <v>8</v>
      </c>
      <c r="C431">
        <v>87.45</v>
      </c>
      <c r="D431">
        <v>88.62021</v>
      </c>
      <c r="E431" s="1">
        <v>42887</v>
      </c>
      <c r="F431">
        <f t="shared" si="12"/>
        <v>6</v>
      </c>
      <c r="G431">
        <f t="shared" si="13"/>
        <v>2017</v>
      </c>
    </row>
    <row r="432" spans="1:7" x14ac:dyDescent="0.25">
      <c r="A432" t="s">
        <v>5</v>
      </c>
      <c r="B432" t="s">
        <v>8</v>
      </c>
      <c r="C432">
        <v>87.3</v>
      </c>
      <c r="D432">
        <v>85.138859999999994</v>
      </c>
      <c r="E432" s="1">
        <v>42917</v>
      </c>
      <c r="F432">
        <f t="shared" si="12"/>
        <v>7</v>
      </c>
      <c r="G432">
        <f t="shared" si="13"/>
        <v>2017</v>
      </c>
    </row>
    <row r="433" spans="1:7" x14ac:dyDescent="0.25">
      <c r="A433" t="s">
        <v>5</v>
      </c>
      <c r="B433" t="s">
        <v>8</v>
      </c>
      <c r="C433">
        <v>87.07</v>
      </c>
      <c r="D433">
        <v>87.103170000000006</v>
      </c>
      <c r="E433" s="1">
        <v>42948</v>
      </c>
      <c r="F433">
        <f t="shared" si="12"/>
        <v>8</v>
      </c>
      <c r="G433">
        <f t="shared" si="13"/>
        <v>2017</v>
      </c>
    </row>
    <row r="434" spans="1:7" x14ac:dyDescent="0.25">
      <c r="A434" t="s">
        <v>5</v>
      </c>
      <c r="B434" t="s">
        <v>8</v>
      </c>
      <c r="C434">
        <v>85.22</v>
      </c>
      <c r="D434">
        <v>85.442589999999996</v>
      </c>
      <c r="E434" s="1">
        <v>42979</v>
      </c>
      <c r="F434">
        <f t="shared" si="12"/>
        <v>9</v>
      </c>
      <c r="G434">
        <f t="shared" si="13"/>
        <v>2017</v>
      </c>
    </row>
    <row r="435" spans="1:7" x14ac:dyDescent="0.25">
      <c r="A435" t="s">
        <v>5</v>
      </c>
      <c r="B435" t="s">
        <v>8</v>
      </c>
      <c r="C435">
        <v>85.81</v>
      </c>
      <c r="D435">
        <v>85.393720000000002</v>
      </c>
      <c r="E435" s="1">
        <v>43009</v>
      </c>
      <c r="F435">
        <f t="shared" si="12"/>
        <v>10</v>
      </c>
      <c r="G435">
        <f t="shared" si="13"/>
        <v>2017</v>
      </c>
    </row>
    <row r="436" spans="1:7" x14ac:dyDescent="0.25">
      <c r="A436" t="s">
        <v>5</v>
      </c>
      <c r="B436" t="s">
        <v>8</v>
      </c>
      <c r="C436">
        <v>86.32</v>
      </c>
      <c r="D436">
        <v>87.379249999999999</v>
      </c>
      <c r="E436" s="1">
        <v>43040</v>
      </c>
      <c r="F436">
        <f t="shared" si="12"/>
        <v>11</v>
      </c>
      <c r="G436">
        <f t="shared" si="13"/>
        <v>2017</v>
      </c>
    </row>
    <row r="437" spans="1:7" x14ac:dyDescent="0.25">
      <c r="A437" t="s">
        <v>5</v>
      </c>
      <c r="B437" t="s">
        <v>8</v>
      </c>
      <c r="C437">
        <v>85.96</v>
      </c>
      <c r="D437">
        <v>95.103930000000005</v>
      </c>
      <c r="E437" s="1">
        <v>43070</v>
      </c>
      <c r="F437">
        <f t="shared" si="12"/>
        <v>12</v>
      </c>
      <c r="G437">
        <f t="shared" si="13"/>
        <v>2017</v>
      </c>
    </row>
    <row r="438" spans="1:7" x14ac:dyDescent="0.25">
      <c r="A438" t="s">
        <v>5</v>
      </c>
      <c r="B438" t="s">
        <v>8</v>
      </c>
      <c r="C438">
        <v>85.83</v>
      </c>
      <c r="D438">
        <v>83.538979999999995</v>
      </c>
      <c r="E438" s="1">
        <v>43101</v>
      </c>
      <c r="F438">
        <f t="shared" si="12"/>
        <v>1</v>
      </c>
      <c r="G438">
        <f t="shared" si="13"/>
        <v>2018</v>
      </c>
    </row>
    <row r="439" spans="1:7" x14ac:dyDescent="0.25">
      <c r="A439" t="s">
        <v>5</v>
      </c>
      <c r="B439" t="s">
        <v>8</v>
      </c>
      <c r="C439">
        <v>85.52</v>
      </c>
      <c r="D439">
        <v>80.85342</v>
      </c>
      <c r="E439" s="1">
        <v>43132</v>
      </c>
      <c r="F439">
        <f t="shared" si="12"/>
        <v>2</v>
      </c>
      <c r="G439">
        <f t="shared" si="13"/>
        <v>2018</v>
      </c>
    </row>
    <row r="440" spans="1:7" x14ac:dyDescent="0.25">
      <c r="A440" t="s">
        <v>5</v>
      </c>
      <c r="B440" t="s">
        <v>8</v>
      </c>
      <c r="C440">
        <v>87.51</v>
      </c>
      <c r="D440">
        <v>87.838890000000006</v>
      </c>
      <c r="E440" s="1">
        <v>43160</v>
      </c>
      <c r="F440">
        <f t="shared" si="12"/>
        <v>3</v>
      </c>
      <c r="G440">
        <f t="shared" si="13"/>
        <v>2018</v>
      </c>
    </row>
    <row r="441" spans="1:7" x14ac:dyDescent="0.25">
      <c r="A441" t="s">
        <v>5</v>
      </c>
      <c r="B441" t="s">
        <v>8</v>
      </c>
      <c r="C441">
        <v>86.98</v>
      </c>
      <c r="D441">
        <v>84.519540000000006</v>
      </c>
      <c r="E441" s="1">
        <v>43191</v>
      </c>
      <c r="F441">
        <f t="shared" si="12"/>
        <v>4</v>
      </c>
      <c r="G441">
        <f t="shared" si="13"/>
        <v>2018</v>
      </c>
    </row>
    <row r="442" spans="1:7" x14ac:dyDescent="0.25">
      <c r="A442" t="s">
        <v>5</v>
      </c>
      <c r="B442" t="s">
        <v>8</v>
      </c>
      <c r="C442">
        <v>85.75</v>
      </c>
      <c r="D442">
        <v>85.662469999999999</v>
      </c>
      <c r="E442" s="1">
        <v>43221</v>
      </c>
      <c r="F442">
        <f t="shared" si="12"/>
        <v>5</v>
      </c>
      <c r="G442">
        <f t="shared" si="13"/>
        <v>2018</v>
      </c>
    </row>
    <row r="443" spans="1:7" x14ac:dyDescent="0.25">
      <c r="A443" t="s">
        <v>5</v>
      </c>
      <c r="B443" t="s">
        <v>8</v>
      </c>
      <c r="C443">
        <v>89.25</v>
      </c>
      <c r="D443">
        <v>89.902780000000007</v>
      </c>
      <c r="E443" s="1">
        <v>43252</v>
      </c>
      <c r="F443">
        <f t="shared" si="12"/>
        <v>6</v>
      </c>
      <c r="G443">
        <f t="shared" si="13"/>
        <v>2018</v>
      </c>
    </row>
    <row r="444" spans="1:7" x14ac:dyDescent="0.25">
      <c r="A444" t="s">
        <v>5</v>
      </c>
      <c r="B444" t="s">
        <v>8</v>
      </c>
      <c r="C444">
        <v>86.64</v>
      </c>
      <c r="D444">
        <v>85.212879999999998</v>
      </c>
      <c r="E444" s="1">
        <v>43282</v>
      </c>
      <c r="F444">
        <f t="shared" si="12"/>
        <v>7</v>
      </c>
      <c r="G444">
        <f t="shared" si="13"/>
        <v>2018</v>
      </c>
    </row>
    <row r="445" spans="1:7" x14ac:dyDescent="0.25">
      <c r="A445" t="s">
        <v>5</v>
      </c>
      <c r="B445" t="s">
        <v>8</v>
      </c>
      <c r="C445">
        <v>85.94</v>
      </c>
      <c r="D445">
        <v>86.127709999999993</v>
      </c>
      <c r="E445" s="1">
        <v>43313</v>
      </c>
      <c r="F445">
        <f t="shared" si="12"/>
        <v>8</v>
      </c>
      <c r="G445">
        <f t="shared" si="13"/>
        <v>2018</v>
      </c>
    </row>
    <row r="446" spans="1:7" x14ac:dyDescent="0.25">
      <c r="A446" t="s">
        <v>5</v>
      </c>
      <c r="B446" t="s">
        <v>8</v>
      </c>
      <c r="C446">
        <v>87.96</v>
      </c>
      <c r="D446">
        <v>87.531049999999993</v>
      </c>
      <c r="E446" s="1">
        <v>43344</v>
      </c>
      <c r="F446">
        <f t="shared" si="12"/>
        <v>9</v>
      </c>
      <c r="G446">
        <f t="shared" si="13"/>
        <v>2018</v>
      </c>
    </row>
    <row r="447" spans="1:7" x14ac:dyDescent="0.25">
      <c r="A447" t="s">
        <v>5</v>
      </c>
      <c r="B447" t="s">
        <v>8</v>
      </c>
      <c r="C447">
        <v>86.68</v>
      </c>
      <c r="D447">
        <v>86.594480000000004</v>
      </c>
      <c r="E447" s="1">
        <v>43374</v>
      </c>
      <c r="F447">
        <f t="shared" si="12"/>
        <v>10</v>
      </c>
      <c r="G447">
        <f t="shared" si="13"/>
        <v>2018</v>
      </c>
    </row>
    <row r="448" spans="1:7" x14ac:dyDescent="0.25">
      <c r="A448" t="s">
        <v>5</v>
      </c>
      <c r="B448" t="s">
        <v>8</v>
      </c>
      <c r="C448">
        <v>86.75</v>
      </c>
      <c r="D448">
        <v>88.445750000000004</v>
      </c>
      <c r="E448" s="1">
        <v>43405</v>
      </c>
      <c r="F448">
        <f t="shared" si="12"/>
        <v>11</v>
      </c>
      <c r="G448">
        <f t="shared" si="13"/>
        <v>2018</v>
      </c>
    </row>
    <row r="449" spans="1:7" x14ac:dyDescent="0.25">
      <c r="A449" t="s">
        <v>5</v>
      </c>
      <c r="B449" t="s">
        <v>8</v>
      </c>
      <c r="C449">
        <v>88.56</v>
      </c>
      <c r="D449">
        <v>97.756649999999993</v>
      </c>
      <c r="E449" s="1">
        <v>43435</v>
      </c>
      <c r="F449">
        <f t="shared" si="12"/>
        <v>12</v>
      </c>
      <c r="G449">
        <f t="shared" si="13"/>
        <v>2018</v>
      </c>
    </row>
    <row r="450" spans="1:7" x14ac:dyDescent="0.25">
      <c r="A450" t="s">
        <v>5</v>
      </c>
      <c r="B450" t="s">
        <v>8</v>
      </c>
      <c r="C450">
        <v>88.71</v>
      </c>
      <c r="D450">
        <v>86.359989999999996</v>
      </c>
      <c r="E450" s="1">
        <v>43466</v>
      </c>
      <c r="F450">
        <f t="shared" ref="F450:F513" si="14">MONTH(E450)</f>
        <v>1</v>
      </c>
      <c r="G450">
        <f t="shared" ref="G450:G513" si="15">YEAR(E450)</f>
        <v>2019</v>
      </c>
    </row>
    <row r="451" spans="1:7" x14ac:dyDescent="0.25">
      <c r="A451" t="s">
        <v>5</v>
      </c>
      <c r="B451" t="s">
        <v>8</v>
      </c>
      <c r="C451">
        <v>89.53</v>
      </c>
      <c r="D451">
        <v>85.829409999999996</v>
      </c>
      <c r="E451" s="1">
        <v>43497</v>
      </c>
      <c r="F451">
        <f t="shared" si="14"/>
        <v>2</v>
      </c>
      <c r="G451">
        <f t="shared" si="15"/>
        <v>2019</v>
      </c>
    </row>
    <row r="452" spans="1:7" x14ac:dyDescent="0.25">
      <c r="A452" t="s">
        <v>5</v>
      </c>
      <c r="B452" t="s">
        <v>8</v>
      </c>
      <c r="C452">
        <v>89.52</v>
      </c>
      <c r="D452">
        <v>88.415509999999998</v>
      </c>
      <c r="E452" s="1">
        <v>43525</v>
      </c>
      <c r="F452">
        <f t="shared" si="14"/>
        <v>3</v>
      </c>
      <c r="G452">
        <f t="shared" si="15"/>
        <v>2019</v>
      </c>
    </row>
    <row r="453" spans="1:7" x14ac:dyDescent="0.25">
      <c r="A453" t="s">
        <v>5</v>
      </c>
      <c r="B453" t="s">
        <v>8</v>
      </c>
      <c r="C453">
        <v>88.81</v>
      </c>
      <c r="D453">
        <v>86.327749999999995</v>
      </c>
      <c r="E453" s="1">
        <v>43556</v>
      </c>
      <c r="F453">
        <f t="shared" si="14"/>
        <v>4</v>
      </c>
      <c r="G453">
        <f t="shared" si="15"/>
        <v>2019</v>
      </c>
    </row>
    <row r="454" spans="1:7" x14ac:dyDescent="0.25">
      <c r="A454" t="s">
        <v>5</v>
      </c>
      <c r="B454" t="s">
        <v>8</v>
      </c>
      <c r="C454">
        <v>90.01</v>
      </c>
      <c r="D454">
        <v>89.813730000000007</v>
      </c>
      <c r="E454" s="1">
        <v>43586</v>
      </c>
      <c r="F454">
        <f t="shared" si="14"/>
        <v>5</v>
      </c>
      <c r="G454">
        <f t="shared" si="15"/>
        <v>2019</v>
      </c>
    </row>
    <row r="455" spans="1:7" x14ac:dyDescent="0.25">
      <c r="A455" t="s">
        <v>5</v>
      </c>
      <c r="B455" t="s">
        <v>8</v>
      </c>
      <c r="C455">
        <v>88.94</v>
      </c>
      <c r="D455">
        <v>89.048310000000001</v>
      </c>
      <c r="E455" s="1">
        <v>43617</v>
      </c>
      <c r="F455">
        <f t="shared" si="14"/>
        <v>6</v>
      </c>
      <c r="G455">
        <f t="shared" si="15"/>
        <v>2019</v>
      </c>
    </row>
    <row r="456" spans="1:7" x14ac:dyDescent="0.25">
      <c r="A456" t="s">
        <v>5</v>
      </c>
      <c r="B456" t="s">
        <v>8</v>
      </c>
      <c r="C456">
        <v>89.6</v>
      </c>
      <c r="D456">
        <v>88.404929999999993</v>
      </c>
      <c r="E456" s="1">
        <v>43647</v>
      </c>
      <c r="F456">
        <f t="shared" si="14"/>
        <v>7</v>
      </c>
      <c r="G456">
        <f t="shared" si="15"/>
        <v>2019</v>
      </c>
    </row>
    <row r="457" spans="1:7" x14ac:dyDescent="0.25">
      <c r="A457" t="s">
        <v>5</v>
      </c>
      <c r="B457" t="s">
        <v>8</v>
      </c>
      <c r="C457">
        <v>90.31</v>
      </c>
      <c r="D457">
        <v>90.114130000000003</v>
      </c>
      <c r="E457" s="1">
        <v>43678</v>
      </c>
      <c r="F457">
        <f t="shared" si="14"/>
        <v>8</v>
      </c>
      <c r="G457">
        <f t="shared" si="15"/>
        <v>2019</v>
      </c>
    </row>
    <row r="458" spans="1:7" x14ac:dyDescent="0.25">
      <c r="A458" t="s">
        <v>5</v>
      </c>
      <c r="B458" t="s">
        <v>8</v>
      </c>
      <c r="C458">
        <v>89.82</v>
      </c>
      <c r="D458">
        <v>89.829819999999998</v>
      </c>
      <c r="E458" s="1">
        <v>43709</v>
      </c>
      <c r="F458">
        <f t="shared" si="14"/>
        <v>9</v>
      </c>
      <c r="G458">
        <f t="shared" si="15"/>
        <v>2019</v>
      </c>
    </row>
    <row r="459" spans="1:7" x14ac:dyDescent="0.25">
      <c r="A459" t="s">
        <v>5</v>
      </c>
      <c r="B459" t="s">
        <v>8</v>
      </c>
      <c r="C459">
        <v>90.75</v>
      </c>
      <c r="D459">
        <v>91.012889999999999</v>
      </c>
      <c r="E459" s="1">
        <v>43739</v>
      </c>
      <c r="F459">
        <f t="shared" si="14"/>
        <v>10</v>
      </c>
      <c r="G459">
        <f t="shared" si="15"/>
        <v>2019</v>
      </c>
    </row>
    <row r="460" spans="1:7" x14ac:dyDescent="0.25">
      <c r="A460" t="s">
        <v>5</v>
      </c>
      <c r="B460" t="s">
        <v>8</v>
      </c>
      <c r="C460">
        <v>90.18</v>
      </c>
      <c r="D460">
        <v>91.910870000000003</v>
      </c>
      <c r="E460" s="1">
        <v>43770</v>
      </c>
      <c r="F460">
        <f t="shared" si="14"/>
        <v>11</v>
      </c>
      <c r="G460">
        <f t="shared" si="15"/>
        <v>2019</v>
      </c>
    </row>
    <row r="461" spans="1:7" x14ac:dyDescent="0.25">
      <c r="A461" t="s">
        <v>5</v>
      </c>
      <c r="B461" t="s">
        <v>8</v>
      </c>
      <c r="C461">
        <v>90.61</v>
      </c>
      <c r="D461">
        <v>100.80436</v>
      </c>
      <c r="E461" s="1">
        <v>43800</v>
      </c>
      <c r="F461">
        <f t="shared" si="14"/>
        <v>12</v>
      </c>
      <c r="G461">
        <f t="shared" si="15"/>
        <v>2019</v>
      </c>
    </row>
    <row r="462" spans="1:7" x14ac:dyDescent="0.25">
      <c r="A462" t="s">
        <v>5</v>
      </c>
      <c r="B462" t="s">
        <v>8</v>
      </c>
      <c r="C462">
        <v>90.63</v>
      </c>
      <c r="D462">
        <v>88.074449999999999</v>
      </c>
      <c r="E462" s="1">
        <v>43831</v>
      </c>
      <c r="F462">
        <f t="shared" si="14"/>
        <v>1</v>
      </c>
      <c r="G462">
        <f t="shared" si="15"/>
        <v>2020</v>
      </c>
    </row>
    <row r="463" spans="1:7" x14ac:dyDescent="0.25">
      <c r="A463" t="s">
        <v>5</v>
      </c>
      <c r="B463" t="s">
        <v>8</v>
      </c>
      <c r="C463">
        <v>91.18</v>
      </c>
      <c r="D463">
        <v>85.512410000000003</v>
      </c>
      <c r="E463" s="1">
        <v>43862</v>
      </c>
      <c r="F463">
        <f t="shared" si="14"/>
        <v>2</v>
      </c>
      <c r="G463">
        <f t="shared" si="15"/>
        <v>2020</v>
      </c>
    </row>
    <row r="464" spans="1:7" x14ac:dyDescent="0.25">
      <c r="A464" t="s">
        <v>5</v>
      </c>
      <c r="B464" t="s">
        <v>8</v>
      </c>
      <c r="C464">
        <v>87.96</v>
      </c>
      <c r="D464">
        <v>88.198679999999996</v>
      </c>
      <c r="E464" s="1">
        <v>43891</v>
      </c>
      <c r="F464">
        <f t="shared" si="14"/>
        <v>3</v>
      </c>
      <c r="G464">
        <f t="shared" si="15"/>
        <v>2020</v>
      </c>
    </row>
    <row r="465" spans="1:7" x14ac:dyDescent="0.25">
      <c r="A465" t="s">
        <v>5</v>
      </c>
      <c r="B465" t="s">
        <v>8</v>
      </c>
      <c r="C465">
        <v>85.21</v>
      </c>
      <c r="D465">
        <v>82.279169999999993</v>
      </c>
      <c r="E465" s="1">
        <v>43922</v>
      </c>
      <c r="F465">
        <f t="shared" si="14"/>
        <v>4</v>
      </c>
      <c r="G465">
        <f t="shared" si="15"/>
        <v>2020</v>
      </c>
    </row>
    <row r="466" spans="1:7" x14ac:dyDescent="0.25">
      <c r="A466" t="s">
        <v>5</v>
      </c>
      <c r="B466" t="s">
        <v>8</v>
      </c>
      <c r="C466">
        <v>82.97</v>
      </c>
      <c r="D466">
        <v>81.808819999999997</v>
      </c>
      <c r="E466" s="1">
        <v>43952</v>
      </c>
      <c r="F466">
        <f t="shared" si="14"/>
        <v>5</v>
      </c>
      <c r="G466">
        <f t="shared" si="15"/>
        <v>2020</v>
      </c>
    </row>
    <row r="467" spans="1:7" x14ac:dyDescent="0.25">
      <c r="A467" t="s">
        <v>5</v>
      </c>
      <c r="B467" t="s">
        <v>8</v>
      </c>
      <c r="C467">
        <v>85.41</v>
      </c>
      <c r="D467">
        <v>86.374989999999997</v>
      </c>
      <c r="E467" s="1">
        <v>43983</v>
      </c>
      <c r="F467">
        <f t="shared" si="14"/>
        <v>6</v>
      </c>
      <c r="G467">
        <f t="shared" si="15"/>
        <v>2020</v>
      </c>
    </row>
    <row r="468" spans="1:7" x14ac:dyDescent="0.25">
      <c r="A468" t="s">
        <v>5</v>
      </c>
      <c r="B468" t="s">
        <v>8</v>
      </c>
      <c r="C468">
        <v>87.23</v>
      </c>
      <c r="D468">
        <v>86.221010000000007</v>
      </c>
      <c r="E468" s="1">
        <v>44013</v>
      </c>
      <c r="F468">
        <f t="shared" si="14"/>
        <v>7</v>
      </c>
      <c r="G468">
        <f t="shared" si="15"/>
        <v>2020</v>
      </c>
    </row>
    <row r="469" spans="1:7" x14ac:dyDescent="0.25">
      <c r="A469" t="s">
        <v>5</v>
      </c>
      <c r="B469" t="s">
        <v>8</v>
      </c>
      <c r="C469">
        <v>87.22</v>
      </c>
      <c r="D469">
        <v>86.496440000000007</v>
      </c>
      <c r="E469" s="1">
        <v>44044</v>
      </c>
      <c r="F469">
        <f t="shared" si="14"/>
        <v>8</v>
      </c>
      <c r="G469">
        <f t="shared" si="15"/>
        <v>2020</v>
      </c>
    </row>
    <row r="470" spans="1:7" x14ac:dyDescent="0.25">
      <c r="A470" t="s">
        <v>5</v>
      </c>
      <c r="B470" t="s">
        <v>8</v>
      </c>
      <c r="C470">
        <v>88.54</v>
      </c>
      <c r="D470">
        <v>89.070899999999995</v>
      </c>
      <c r="E470" s="1">
        <v>44075</v>
      </c>
      <c r="F470">
        <f t="shared" si="14"/>
        <v>9</v>
      </c>
      <c r="G470">
        <f t="shared" si="15"/>
        <v>2020</v>
      </c>
    </row>
    <row r="471" spans="1:7" x14ac:dyDescent="0.25">
      <c r="A471" t="s">
        <v>5</v>
      </c>
      <c r="B471" t="s">
        <v>8</v>
      </c>
      <c r="C471">
        <v>90.75</v>
      </c>
      <c r="D471">
        <v>90.970389999999995</v>
      </c>
      <c r="E471" s="1">
        <v>44105</v>
      </c>
      <c r="F471">
        <f t="shared" si="14"/>
        <v>10</v>
      </c>
      <c r="G471">
        <f t="shared" si="15"/>
        <v>2020</v>
      </c>
    </row>
    <row r="472" spans="1:7" x14ac:dyDescent="0.25">
      <c r="A472" t="s">
        <v>5</v>
      </c>
      <c r="B472" t="s">
        <v>8</v>
      </c>
      <c r="C472">
        <v>90.87</v>
      </c>
      <c r="D472">
        <v>93.07132</v>
      </c>
      <c r="E472" s="1">
        <v>44136</v>
      </c>
      <c r="F472">
        <f t="shared" si="14"/>
        <v>11</v>
      </c>
      <c r="G472">
        <f t="shared" si="15"/>
        <v>2020</v>
      </c>
    </row>
    <row r="473" spans="1:7" x14ac:dyDescent="0.25">
      <c r="A473" t="s">
        <v>5</v>
      </c>
      <c r="B473" t="s">
        <v>8</v>
      </c>
      <c r="C473">
        <v>91.82</v>
      </c>
      <c r="D473">
        <v>102.62204</v>
      </c>
      <c r="E473" s="1">
        <v>44166</v>
      </c>
      <c r="F473">
        <f t="shared" si="14"/>
        <v>12</v>
      </c>
      <c r="G473">
        <f t="shared" si="15"/>
        <v>2020</v>
      </c>
    </row>
    <row r="474" spans="1:7" x14ac:dyDescent="0.25">
      <c r="A474" t="s">
        <v>5</v>
      </c>
      <c r="B474" t="s">
        <v>8</v>
      </c>
      <c r="C474">
        <v>92.95</v>
      </c>
      <c r="D474">
        <v>89.433539999999994</v>
      </c>
      <c r="E474" s="1">
        <v>44197</v>
      </c>
      <c r="F474">
        <f t="shared" si="14"/>
        <v>1</v>
      </c>
      <c r="G474">
        <f t="shared" si="15"/>
        <v>2021</v>
      </c>
    </row>
    <row r="475" spans="1:7" x14ac:dyDescent="0.25">
      <c r="A475" t="s">
        <v>5</v>
      </c>
      <c r="B475" t="s">
        <v>8</v>
      </c>
      <c r="C475">
        <v>93.42</v>
      </c>
      <c r="D475">
        <v>87.840209999999999</v>
      </c>
      <c r="E475" s="1">
        <v>44228</v>
      </c>
      <c r="F475">
        <f t="shared" si="14"/>
        <v>2</v>
      </c>
      <c r="G475">
        <f t="shared" si="15"/>
        <v>2021</v>
      </c>
    </row>
    <row r="476" spans="1:7" x14ac:dyDescent="0.25">
      <c r="A476" t="s">
        <v>5</v>
      </c>
      <c r="B476" t="s">
        <v>8</v>
      </c>
      <c r="C476">
        <v>93.47</v>
      </c>
      <c r="D476">
        <v>93.794079999999994</v>
      </c>
      <c r="E476" s="1">
        <v>44256</v>
      </c>
      <c r="F476">
        <f t="shared" si="14"/>
        <v>3</v>
      </c>
      <c r="G476">
        <f t="shared" si="15"/>
        <v>2021</v>
      </c>
    </row>
    <row r="477" spans="1:7" x14ac:dyDescent="0.25">
      <c r="A477" t="s">
        <v>5</v>
      </c>
      <c r="B477" t="s">
        <v>8</v>
      </c>
      <c r="C477">
        <v>95.77</v>
      </c>
      <c r="D477">
        <v>92.800259999999994</v>
      </c>
      <c r="E477" s="1">
        <v>44287</v>
      </c>
      <c r="F477">
        <f t="shared" si="14"/>
        <v>4</v>
      </c>
      <c r="G477">
        <f t="shared" si="15"/>
        <v>2021</v>
      </c>
    </row>
    <row r="478" spans="1:7" x14ac:dyDescent="0.25">
      <c r="A478" t="s">
        <v>5</v>
      </c>
      <c r="B478" t="s">
        <v>8</v>
      </c>
      <c r="C478">
        <v>95.12</v>
      </c>
      <c r="D478">
        <v>93.378720000000001</v>
      </c>
      <c r="E478" s="1">
        <v>44317</v>
      </c>
      <c r="F478">
        <f t="shared" si="14"/>
        <v>5</v>
      </c>
      <c r="G478">
        <f t="shared" si="15"/>
        <v>2021</v>
      </c>
    </row>
    <row r="479" spans="1:7" x14ac:dyDescent="0.25">
      <c r="A479" t="s">
        <v>5</v>
      </c>
      <c r="B479" t="s">
        <v>8</v>
      </c>
      <c r="C479">
        <v>97.42</v>
      </c>
      <c r="D479">
        <v>98.327629999999999</v>
      </c>
      <c r="E479" s="1">
        <v>44348</v>
      </c>
      <c r="F479">
        <f t="shared" si="14"/>
        <v>6</v>
      </c>
      <c r="G479">
        <f t="shared" si="15"/>
        <v>2021</v>
      </c>
    </row>
    <row r="480" spans="1:7" x14ac:dyDescent="0.25">
      <c r="A480" t="s">
        <v>5</v>
      </c>
      <c r="B480" t="s">
        <v>8</v>
      </c>
      <c r="C480">
        <v>97.04</v>
      </c>
      <c r="D480">
        <v>95.844269999999995</v>
      </c>
      <c r="E480" s="1">
        <v>44378</v>
      </c>
      <c r="F480">
        <f t="shared" si="14"/>
        <v>7</v>
      </c>
      <c r="G480">
        <f t="shared" si="15"/>
        <v>2021</v>
      </c>
    </row>
    <row r="481" spans="1:7" x14ac:dyDescent="0.25">
      <c r="A481" t="s">
        <v>5</v>
      </c>
      <c r="B481" t="s">
        <v>8</v>
      </c>
      <c r="C481">
        <v>98.31</v>
      </c>
      <c r="D481">
        <v>98.282210000000006</v>
      </c>
      <c r="E481" s="1">
        <v>44409</v>
      </c>
      <c r="F481">
        <f t="shared" si="14"/>
        <v>8</v>
      </c>
      <c r="G481">
        <f t="shared" si="15"/>
        <v>2021</v>
      </c>
    </row>
    <row r="482" spans="1:7" x14ac:dyDescent="0.25">
      <c r="A482" t="s">
        <v>5</v>
      </c>
      <c r="B482" t="s">
        <v>8</v>
      </c>
      <c r="C482">
        <v>97.56</v>
      </c>
      <c r="D482">
        <v>98.114540000000005</v>
      </c>
      <c r="E482" s="1">
        <v>44440</v>
      </c>
      <c r="F482">
        <f t="shared" si="14"/>
        <v>9</v>
      </c>
      <c r="G482">
        <f t="shared" si="15"/>
        <v>2021</v>
      </c>
    </row>
    <row r="483" spans="1:7" x14ac:dyDescent="0.25">
      <c r="A483" t="s">
        <v>5</v>
      </c>
      <c r="B483" t="s">
        <v>8</v>
      </c>
      <c r="C483">
        <v>96.75</v>
      </c>
      <c r="D483">
        <v>96.767399999999995</v>
      </c>
      <c r="E483" s="1">
        <v>44470</v>
      </c>
      <c r="F483">
        <f t="shared" si="14"/>
        <v>10</v>
      </c>
      <c r="G483">
        <f t="shared" si="15"/>
        <v>2021</v>
      </c>
    </row>
    <row r="484" spans="1:7" x14ac:dyDescent="0.25">
      <c r="A484" t="s">
        <v>5</v>
      </c>
      <c r="B484" t="s">
        <v>8</v>
      </c>
      <c r="C484">
        <v>100.31</v>
      </c>
      <c r="D484">
        <v>103.51152999999999</v>
      </c>
      <c r="E484" s="1">
        <v>44501</v>
      </c>
      <c r="F484">
        <f t="shared" si="14"/>
        <v>11</v>
      </c>
      <c r="G484">
        <f t="shared" si="15"/>
        <v>2021</v>
      </c>
    </row>
    <row r="485" spans="1:7" x14ac:dyDescent="0.25">
      <c r="A485" t="s">
        <v>5</v>
      </c>
      <c r="B485" t="s">
        <v>8</v>
      </c>
      <c r="C485">
        <v>102.03</v>
      </c>
      <c r="D485">
        <v>113.05166</v>
      </c>
      <c r="E485" s="1">
        <v>44531</v>
      </c>
      <c r="F485">
        <f t="shared" si="14"/>
        <v>12</v>
      </c>
      <c r="G485">
        <f t="shared" si="15"/>
        <v>2021</v>
      </c>
    </row>
    <row r="486" spans="1:7" x14ac:dyDescent="0.25">
      <c r="A486" t="s">
        <v>5</v>
      </c>
      <c r="B486" t="s">
        <v>8</v>
      </c>
      <c r="C486">
        <v>97.96</v>
      </c>
      <c r="D486">
        <v>93.926090000000002</v>
      </c>
      <c r="E486" s="1">
        <v>44562</v>
      </c>
      <c r="F486">
        <f t="shared" si="14"/>
        <v>1</v>
      </c>
      <c r="G486">
        <f t="shared" si="15"/>
        <v>2022</v>
      </c>
    </row>
    <row r="487" spans="1:7" x14ac:dyDescent="0.25">
      <c r="A487" t="s">
        <v>5</v>
      </c>
      <c r="B487" t="s">
        <v>8</v>
      </c>
      <c r="C487">
        <v>95.84</v>
      </c>
      <c r="D487">
        <v>89.912400000000005</v>
      </c>
      <c r="E487" s="1">
        <v>44593</v>
      </c>
      <c r="F487">
        <f t="shared" si="14"/>
        <v>2</v>
      </c>
      <c r="G487">
        <f t="shared" si="15"/>
        <v>2022</v>
      </c>
    </row>
    <row r="488" spans="1:7" x14ac:dyDescent="0.25">
      <c r="A488" t="s">
        <v>5</v>
      </c>
      <c r="B488" t="s">
        <v>8</v>
      </c>
      <c r="C488">
        <v>97.13</v>
      </c>
      <c r="D488">
        <v>97.457419999999999</v>
      </c>
      <c r="E488" s="1">
        <v>44621</v>
      </c>
      <c r="F488">
        <f t="shared" si="14"/>
        <v>3</v>
      </c>
      <c r="G488">
        <f t="shared" si="15"/>
        <v>2022</v>
      </c>
    </row>
    <row r="489" spans="1:7" x14ac:dyDescent="0.25">
      <c r="A489" t="s">
        <v>5</v>
      </c>
      <c r="B489" t="s">
        <v>8</v>
      </c>
      <c r="C489">
        <v>98.01</v>
      </c>
      <c r="D489">
        <v>94.289199999999994</v>
      </c>
      <c r="E489" s="1">
        <v>44652</v>
      </c>
      <c r="F489">
        <f t="shared" si="14"/>
        <v>4</v>
      </c>
      <c r="G489">
        <f t="shared" si="15"/>
        <v>2022</v>
      </c>
    </row>
    <row r="490" spans="1:7" x14ac:dyDescent="0.25">
      <c r="A490" t="s">
        <v>5</v>
      </c>
      <c r="B490" t="s">
        <v>8</v>
      </c>
      <c r="C490">
        <v>98.5</v>
      </c>
      <c r="D490">
        <v>97.156279999999995</v>
      </c>
      <c r="E490" s="1">
        <v>44682</v>
      </c>
      <c r="F490">
        <f t="shared" si="14"/>
        <v>5</v>
      </c>
      <c r="G490">
        <f t="shared" si="15"/>
        <v>2022</v>
      </c>
    </row>
    <row r="491" spans="1:7" x14ac:dyDescent="0.25">
      <c r="A491" t="s">
        <v>5</v>
      </c>
      <c r="B491" t="s">
        <v>8</v>
      </c>
      <c r="C491">
        <v>98.42</v>
      </c>
      <c r="D491">
        <v>99.168139999999994</v>
      </c>
      <c r="E491" s="1">
        <v>44713</v>
      </c>
      <c r="F491">
        <f t="shared" si="14"/>
        <v>6</v>
      </c>
      <c r="G491">
        <f t="shared" si="15"/>
        <v>2022</v>
      </c>
    </row>
    <row r="492" spans="1:7" x14ac:dyDescent="0.25">
      <c r="A492" t="s">
        <v>5</v>
      </c>
      <c r="B492" t="s">
        <v>8</v>
      </c>
      <c r="C492">
        <v>99.05</v>
      </c>
      <c r="D492">
        <v>97.899720000000002</v>
      </c>
      <c r="E492" s="1">
        <v>44743</v>
      </c>
      <c r="F492">
        <f t="shared" si="14"/>
        <v>7</v>
      </c>
      <c r="G492">
        <f t="shared" si="15"/>
        <v>2022</v>
      </c>
    </row>
    <row r="493" spans="1:7" x14ac:dyDescent="0.25">
      <c r="A493" t="s">
        <v>5</v>
      </c>
      <c r="B493" t="s">
        <v>8</v>
      </c>
      <c r="C493">
        <v>101.05</v>
      </c>
      <c r="D493">
        <v>101.29499</v>
      </c>
      <c r="E493" s="1">
        <v>44774</v>
      </c>
      <c r="F493">
        <f t="shared" si="14"/>
        <v>8</v>
      </c>
      <c r="G493">
        <f t="shared" si="15"/>
        <v>2022</v>
      </c>
    </row>
    <row r="494" spans="1:7" x14ac:dyDescent="0.25">
      <c r="A494" t="s">
        <v>5</v>
      </c>
      <c r="B494" t="s">
        <v>8</v>
      </c>
      <c r="C494">
        <v>103</v>
      </c>
      <c r="D494">
        <v>103.96281999999999</v>
      </c>
      <c r="E494" s="1">
        <v>44805</v>
      </c>
      <c r="F494">
        <f t="shared" si="14"/>
        <v>9</v>
      </c>
      <c r="G494">
        <f t="shared" si="15"/>
        <v>2022</v>
      </c>
    </row>
    <row r="495" spans="1:7" x14ac:dyDescent="0.25">
      <c r="A495" t="s">
        <v>5</v>
      </c>
      <c r="B495" t="s">
        <v>8</v>
      </c>
      <c r="C495">
        <v>105.24</v>
      </c>
      <c r="D495">
        <v>104.88599000000001</v>
      </c>
      <c r="E495" s="1">
        <v>44835</v>
      </c>
      <c r="F495">
        <f t="shared" si="14"/>
        <v>10</v>
      </c>
      <c r="G495">
        <f t="shared" si="15"/>
        <v>2022</v>
      </c>
    </row>
    <row r="496" spans="1:7" x14ac:dyDescent="0.25">
      <c r="A496" t="s">
        <v>5</v>
      </c>
      <c r="B496" t="s">
        <v>8</v>
      </c>
      <c r="C496">
        <v>103.49</v>
      </c>
      <c r="D496">
        <v>107.05065999999999</v>
      </c>
      <c r="E496" s="1">
        <v>44866</v>
      </c>
      <c r="F496">
        <f t="shared" si="14"/>
        <v>11</v>
      </c>
      <c r="G496">
        <f t="shared" si="15"/>
        <v>2022</v>
      </c>
    </row>
    <row r="497" spans="1:7" x14ac:dyDescent="0.25">
      <c r="A497" t="s">
        <v>5</v>
      </c>
      <c r="B497" t="s">
        <v>8</v>
      </c>
      <c r="C497">
        <v>102.31</v>
      </c>
      <c r="D497">
        <v>112.99630000000001</v>
      </c>
      <c r="E497" s="1">
        <v>44896</v>
      </c>
      <c r="F497">
        <f t="shared" si="14"/>
        <v>12</v>
      </c>
      <c r="G497">
        <f t="shared" si="15"/>
        <v>2022</v>
      </c>
    </row>
    <row r="498" spans="1:7" x14ac:dyDescent="0.25">
      <c r="A498" t="s">
        <v>5</v>
      </c>
      <c r="B498" t="s">
        <v>8</v>
      </c>
      <c r="C498">
        <v>101.2</v>
      </c>
      <c r="D498">
        <v>97.697249999999997</v>
      </c>
      <c r="E498" s="1">
        <v>44927</v>
      </c>
      <c r="F498">
        <f t="shared" si="14"/>
        <v>1</v>
      </c>
      <c r="G498">
        <f t="shared" si="15"/>
        <v>2023</v>
      </c>
    </row>
    <row r="499" spans="1:7" x14ac:dyDescent="0.25">
      <c r="A499" t="s">
        <v>5</v>
      </c>
      <c r="B499" t="s">
        <v>8</v>
      </c>
      <c r="C499">
        <v>102.31</v>
      </c>
      <c r="D499">
        <v>96.10333</v>
      </c>
      <c r="E499" s="1">
        <v>44958</v>
      </c>
      <c r="F499">
        <f t="shared" si="14"/>
        <v>2</v>
      </c>
      <c r="G499">
        <f t="shared" si="15"/>
        <v>2023</v>
      </c>
    </row>
    <row r="500" spans="1:7" x14ac:dyDescent="0.25">
      <c r="A500" t="s">
        <v>5</v>
      </c>
      <c r="B500" t="s">
        <v>8</v>
      </c>
      <c r="C500">
        <v>103.46</v>
      </c>
      <c r="D500">
        <v>103.90822</v>
      </c>
      <c r="E500" s="1">
        <v>44986</v>
      </c>
      <c r="F500">
        <f t="shared" si="14"/>
        <v>3</v>
      </c>
      <c r="G500">
        <f t="shared" si="15"/>
        <v>2023</v>
      </c>
    </row>
    <row r="501" spans="1:7" x14ac:dyDescent="0.25">
      <c r="A501" t="s">
        <v>5</v>
      </c>
      <c r="B501" t="s">
        <v>8</v>
      </c>
      <c r="C501">
        <v>102.53</v>
      </c>
      <c r="D501">
        <v>98.064850000000007</v>
      </c>
      <c r="E501" s="1">
        <v>45017</v>
      </c>
      <c r="F501">
        <f t="shared" si="14"/>
        <v>4</v>
      </c>
      <c r="G501">
        <f t="shared" si="15"/>
        <v>2023</v>
      </c>
    </row>
    <row r="502" spans="1:7" x14ac:dyDescent="0.25">
      <c r="A502" t="s">
        <v>5</v>
      </c>
      <c r="B502" t="s">
        <v>8</v>
      </c>
      <c r="C502">
        <v>103.55</v>
      </c>
      <c r="D502">
        <v>102.29018000000001</v>
      </c>
      <c r="E502" s="1">
        <v>45047</v>
      </c>
      <c r="F502">
        <f t="shared" si="14"/>
        <v>5</v>
      </c>
      <c r="G502">
        <f t="shared" si="15"/>
        <v>2023</v>
      </c>
    </row>
    <row r="503" spans="1:7" x14ac:dyDescent="0.25">
      <c r="A503" t="s">
        <v>5</v>
      </c>
      <c r="B503" t="s">
        <v>8</v>
      </c>
      <c r="C503">
        <v>103.94</v>
      </c>
      <c r="D503">
        <v>104.95537</v>
      </c>
      <c r="E503" s="1">
        <v>45078</v>
      </c>
      <c r="F503">
        <f t="shared" si="14"/>
        <v>6</v>
      </c>
      <c r="G503">
        <f t="shared" si="15"/>
        <v>2023</v>
      </c>
    </row>
    <row r="504" spans="1:7" x14ac:dyDescent="0.25">
      <c r="A504" t="s">
        <v>5</v>
      </c>
      <c r="B504" t="s">
        <v>8</v>
      </c>
      <c r="C504">
        <v>103.41</v>
      </c>
      <c r="D504">
        <v>102.28916</v>
      </c>
      <c r="E504" s="1">
        <v>45108</v>
      </c>
      <c r="F504">
        <f t="shared" si="14"/>
        <v>7</v>
      </c>
      <c r="G504">
        <f t="shared" si="15"/>
        <v>2023</v>
      </c>
    </row>
    <row r="505" spans="1:7" x14ac:dyDescent="0.25">
      <c r="A505" t="s">
        <v>5</v>
      </c>
      <c r="B505" t="s">
        <v>8</v>
      </c>
      <c r="C505">
        <v>103.51</v>
      </c>
      <c r="D505">
        <v>103.81393</v>
      </c>
      <c r="E505" s="1">
        <v>45139</v>
      </c>
      <c r="F505">
        <f t="shared" si="14"/>
        <v>8</v>
      </c>
      <c r="G505">
        <f t="shared" si="15"/>
        <v>2023</v>
      </c>
    </row>
    <row r="506" spans="1:7" x14ac:dyDescent="0.25">
      <c r="A506" t="s">
        <v>5</v>
      </c>
      <c r="B506" t="s">
        <v>8</v>
      </c>
      <c r="C506">
        <v>102.87</v>
      </c>
      <c r="D506">
        <v>103.54853</v>
      </c>
      <c r="E506" s="1">
        <v>45170</v>
      </c>
      <c r="F506">
        <f t="shared" si="14"/>
        <v>9</v>
      </c>
      <c r="G506">
        <f t="shared" si="15"/>
        <v>2023</v>
      </c>
    </row>
    <row r="507" spans="1:7" x14ac:dyDescent="0.25">
      <c r="A507" t="s">
        <v>5</v>
      </c>
      <c r="B507" t="s">
        <v>8</v>
      </c>
      <c r="C507">
        <v>104.48</v>
      </c>
      <c r="D507">
        <v>104.61451</v>
      </c>
      <c r="E507" s="1">
        <v>45200</v>
      </c>
      <c r="F507">
        <f t="shared" si="14"/>
        <v>10</v>
      </c>
      <c r="G507">
        <f t="shared" si="15"/>
        <v>2023</v>
      </c>
    </row>
    <row r="508" spans="1:7" x14ac:dyDescent="0.25">
      <c r="A508" t="s">
        <v>5</v>
      </c>
      <c r="B508" t="s">
        <v>8</v>
      </c>
      <c r="C508">
        <v>105.6</v>
      </c>
      <c r="D508">
        <v>109.11827</v>
      </c>
      <c r="E508" s="1">
        <v>45231</v>
      </c>
      <c r="F508">
        <f t="shared" si="14"/>
        <v>11</v>
      </c>
      <c r="G508">
        <f t="shared" si="15"/>
        <v>2023</v>
      </c>
    </row>
    <row r="509" spans="1:7" x14ac:dyDescent="0.25">
      <c r="A509" t="s">
        <v>5</v>
      </c>
      <c r="B509" t="s">
        <v>8</v>
      </c>
      <c r="C509">
        <v>106.44</v>
      </c>
      <c r="D509">
        <v>116.82134000000001</v>
      </c>
      <c r="E509" s="1">
        <v>45261</v>
      </c>
      <c r="F509">
        <f t="shared" si="14"/>
        <v>12</v>
      </c>
      <c r="G509">
        <f t="shared" si="15"/>
        <v>2023</v>
      </c>
    </row>
    <row r="510" spans="1:7" x14ac:dyDescent="0.25">
      <c r="A510" t="s">
        <v>5</v>
      </c>
      <c r="B510" t="s">
        <v>8</v>
      </c>
      <c r="C510">
        <v>107.25</v>
      </c>
      <c r="D510">
        <v>103.87416</v>
      </c>
      <c r="E510" s="1">
        <v>45292</v>
      </c>
      <c r="F510">
        <f t="shared" si="14"/>
        <v>1</v>
      </c>
      <c r="G510">
        <f t="shared" si="15"/>
        <v>2024</v>
      </c>
    </row>
    <row r="511" spans="1:7" x14ac:dyDescent="0.25">
      <c r="A511" t="s">
        <v>5</v>
      </c>
      <c r="B511" t="s">
        <v>8</v>
      </c>
      <c r="C511">
        <v>106.97</v>
      </c>
      <c r="D511">
        <v>100.62582999999999</v>
      </c>
      <c r="E511" s="1">
        <v>45323</v>
      </c>
      <c r="F511">
        <f t="shared" si="14"/>
        <v>2</v>
      </c>
      <c r="G511">
        <f t="shared" si="15"/>
        <v>2024</v>
      </c>
    </row>
    <row r="512" spans="1:7" x14ac:dyDescent="0.25">
      <c r="A512" t="s">
        <v>5</v>
      </c>
      <c r="B512" t="s">
        <v>8</v>
      </c>
      <c r="C512">
        <v>108.91</v>
      </c>
      <c r="D512">
        <v>108.49281999999999</v>
      </c>
      <c r="E512" s="1">
        <v>45352</v>
      </c>
      <c r="F512">
        <f t="shared" si="14"/>
        <v>3</v>
      </c>
      <c r="G512">
        <f t="shared" si="15"/>
        <v>2024</v>
      </c>
    </row>
    <row r="513" spans="1:7" x14ac:dyDescent="0.25">
      <c r="A513" t="s">
        <v>5</v>
      </c>
      <c r="B513" t="s">
        <v>8</v>
      </c>
      <c r="C513">
        <v>108.79</v>
      </c>
      <c r="D513">
        <v>105.33583</v>
      </c>
      <c r="E513" s="1">
        <v>45383</v>
      </c>
      <c r="F513">
        <f t="shared" si="14"/>
        <v>4</v>
      </c>
      <c r="G513">
        <f t="shared" si="15"/>
        <v>2024</v>
      </c>
    </row>
    <row r="514" spans="1:7" x14ac:dyDescent="0.25">
      <c r="A514" t="s">
        <v>5</v>
      </c>
      <c r="B514" t="s">
        <v>8</v>
      </c>
      <c r="C514">
        <v>107.38</v>
      </c>
      <c r="D514">
        <v>106.18621</v>
      </c>
      <c r="E514" s="1">
        <v>45413</v>
      </c>
      <c r="F514">
        <f t="shared" ref="F514:F577" si="16">MONTH(E514)</f>
        <v>5</v>
      </c>
      <c r="G514">
        <f t="shared" ref="G514:G577" si="17">YEAR(E514)</f>
        <v>2024</v>
      </c>
    </row>
    <row r="515" spans="1:7" x14ac:dyDescent="0.25">
      <c r="A515" t="s">
        <v>5</v>
      </c>
      <c r="B515" t="s">
        <v>8</v>
      </c>
      <c r="C515">
        <v>109.47</v>
      </c>
      <c r="D515">
        <v>109.52518000000001</v>
      </c>
      <c r="E515" s="1">
        <v>45444</v>
      </c>
      <c r="F515">
        <f t="shared" si="16"/>
        <v>6</v>
      </c>
      <c r="G515">
        <f t="shared" si="17"/>
        <v>2024</v>
      </c>
    </row>
    <row r="516" spans="1:7" x14ac:dyDescent="0.25">
      <c r="A516" t="s">
        <v>5</v>
      </c>
      <c r="B516" t="s">
        <v>8</v>
      </c>
      <c r="C516">
        <v>111.86</v>
      </c>
      <c r="D516">
        <v>111.93313000000001</v>
      </c>
      <c r="E516" s="1">
        <v>45474</v>
      </c>
      <c r="F516">
        <f t="shared" si="16"/>
        <v>7</v>
      </c>
      <c r="G516">
        <f t="shared" si="17"/>
        <v>2024</v>
      </c>
    </row>
    <row r="517" spans="1:7" x14ac:dyDescent="0.25">
      <c r="A517" t="s">
        <v>5</v>
      </c>
      <c r="B517" t="s">
        <v>8</v>
      </c>
      <c r="C517">
        <v>111.29</v>
      </c>
      <c r="D517">
        <v>111.20023999999999</v>
      </c>
      <c r="E517" s="1">
        <v>45505</v>
      </c>
      <c r="F517">
        <f t="shared" si="16"/>
        <v>8</v>
      </c>
      <c r="G517">
        <f t="shared" si="17"/>
        <v>2024</v>
      </c>
    </row>
    <row r="518" spans="1:7" x14ac:dyDescent="0.25">
      <c r="A518" t="s">
        <v>5</v>
      </c>
      <c r="B518" t="s">
        <v>8</v>
      </c>
      <c r="C518">
        <v>112.72</v>
      </c>
      <c r="D518">
        <v>113.27705</v>
      </c>
      <c r="E518" s="1">
        <v>45536</v>
      </c>
      <c r="F518">
        <f t="shared" si="16"/>
        <v>9</v>
      </c>
      <c r="G518">
        <f t="shared" si="17"/>
        <v>2024</v>
      </c>
    </row>
    <row r="519" spans="1:7" x14ac:dyDescent="0.25">
      <c r="A519" t="s">
        <v>5</v>
      </c>
      <c r="B519" t="s">
        <v>8</v>
      </c>
      <c r="C519">
        <v>111.36</v>
      </c>
      <c r="D519">
        <v>111.67604</v>
      </c>
      <c r="E519" s="1">
        <v>45566</v>
      </c>
      <c r="F519">
        <f t="shared" si="16"/>
        <v>10</v>
      </c>
      <c r="G519">
        <f t="shared" si="17"/>
        <v>2024</v>
      </c>
    </row>
    <row r="520" spans="1:7" x14ac:dyDescent="0.25">
      <c r="A520" t="s">
        <v>5</v>
      </c>
      <c r="B520" t="s">
        <v>8</v>
      </c>
      <c r="C520">
        <v>111.78</v>
      </c>
      <c r="D520">
        <v>115.11194</v>
      </c>
      <c r="E520" s="1">
        <v>45597</v>
      </c>
      <c r="F520">
        <f t="shared" si="16"/>
        <v>11</v>
      </c>
      <c r="G520">
        <f t="shared" si="17"/>
        <v>2024</v>
      </c>
    </row>
    <row r="521" spans="1:7" x14ac:dyDescent="0.25">
      <c r="A521" t="s">
        <v>5</v>
      </c>
      <c r="B521" t="s">
        <v>8</v>
      </c>
      <c r="C521">
        <v>112.52</v>
      </c>
      <c r="D521">
        <v>123.22044</v>
      </c>
      <c r="E521" s="1">
        <v>45627</v>
      </c>
      <c r="F521">
        <f t="shared" si="16"/>
        <v>12</v>
      </c>
      <c r="G521">
        <f t="shared" si="17"/>
        <v>2024</v>
      </c>
    </row>
    <row r="522" spans="1:7" x14ac:dyDescent="0.25">
      <c r="A522" t="s">
        <v>5</v>
      </c>
      <c r="B522" t="s">
        <v>8</v>
      </c>
      <c r="C522">
        <v>113.42</v>
      </c>
      <c r="D522">
        <v>110.17434</v>
      </c>
      <c r="E522" s="1">
        <v>45658</v>
      </c>
      <c r="F522">
        <f t="shared" si="16"/>
        <v>1</v>
      </c>
      <c r="G522">
        <f t="shared" si="17"/>
        <v>2025</v>
      </c>
    </row>
    <row r="523" spans="1:7" x14ac:dyDescent="0.25">
      <c r="A523" t="s">
        <v>5</v>
      </c>
      <c r="B523" t="s">
        <v>8</v>
      </c>
      <c r="C523">
        <v>115.97</v>
      </c>
      <c r="D523">
        <v>110.48932000000001</v>
      </c>
      <c r="E523" s="1">
        <v>45689</v>
      </c>
      <c r="F523">
        <f t="shared" si="16"/>
        <v>2</v>
      </c>
      <c r="G523">
        <f t="shared" si="17"/>
        <v>2025</v>
      </c>
    </row>
    <row r="524" spans="1:7" x14ac:dyDescent="0.25">
      <c r="A524" t="s">
        <v>5</v>
      </c>
      <c r="B524" t="s">
        <v>8</v>
      </c>
      <c r="C524">
        <v>113.9</v>
      </c>
      <c r="D524">
        <v>112.66491000000001</v>
      </c>
      <c r="E524" s="1">
        <v>45717</v>
      </c>
      <c r="F524">
        <f t="shared" si="16"/>
        <v>3</v>
      </c>
      <c r="G524">
        <f t="shared" si="17"/>
        <v>2025</v>
      </c>
    </row>
    <row r="525" spans="1:7" x14ac:dyDescent="0.25">
      <c r="A525" t="s">
        <v>5</v>
      </c>
      <c r="B525" t="s">
        <v>8</v>
      </c>
      <c r="C525">
        <v>114.59</v>
      </c>
      <c r="D525">
        <v>110.79613999999999</v>
      </c>
      <c r="E525" s="1">
        <v>45748</v>
      </c>
      <c r="F525">
        <f t="shared" si="16"/>
        <v>4</v>
      </c>
      <c r="G525">
        <f t="shared" si="17"/>
        <v>2025</v>
      </c>
    </row>
    <row r="526" spans="1:7" x14ac:dyDescent="0.25">
      <c r="A526" t="s">
        <v>5</v>
      </c>
      <c r="B526" t="s">
        <v>8</v>
      </c>
      <c r="C526">
        <v>114.94</v>
      </c>
      <c r="D526">
        <v>113.37607</v>
      </c>
      <c r="E526" s="1">
        <v>45778</v>
      </c>
      <c r="F526">
        <f t="shared" si="16"/>
        <v>5</v>
      </c>
      <c r="G526">
        <f t="shared" si="17"/>
        <v>2025</v>
      </c>
    </row>
    <row r="527" spans="1:7" x14ac:dyDescent="0.25">
      <c r="A527" t="s">
        <v>5</v>
      </c>
      <c r="B527" t="s">
        <v>8</v>
      </c>
      <c r="C527">
        <v>115.51</v>
      </c>
      <c r="D527">
        <v>115.877</v>
      </c>
      <c r="E527" s="1">
        <v>45809</v>
      </c>
      <c r="F527">
        <f t="shared" si="16"/>
        <v>6</v>
      </c>
      <c r="G527">
        <f t="shared" si="17"/>
        <v>2025</v>
      </c>
    </row>
    <row r="528" spans="1:7" x14ac:dyDescent="0.25">
      <c r="A528" t="s">
        <v>5</v>
      </c>
      <c r="B528" t="s">
        <v>8</v>
      </c>
      <c r="C528">
        <v>115.92</v>
      </c>
      <c r="D528">
        <v>116.34139</v>
      </c>
      <c r="E528" s="1">
        <v>45839</v>
      </c>
      <c r="F528">
        <f t="shared" si="16"/>
        <v>7</v>
      </c>
      <c r="G528">
        <f t="shared" si="17"/>
        <v>2025</v>
      </c>
    </row>
    <row r="529" spans="1:7" x14ac:dyDescent="0.25">
      <c r="A529" t="s">
        <v>5</v>
      </c>
      <c r="B529" t="s">
        <v>8</v>
      </c>
      <c r="C529">
        <v>115.49</v>
      </c>
      <c r="D529">
        <v>115.00426</v>
      </c>
      <c r="E529" s="1">
        <v>45870</v>
      </c>
      <c r="F529">
        <f t="shared" si="16"/>
        <v>8</v>
      </c>
      <c r="G529">
        <f t="shared" si="17"/>
        <v>2025</v>
      </c>
    </row>
    <row r="530" spans="1:7" x14ac:dyDescent="0.25">
      <c r="A530" t="s">
        <v>5</v>
      </c>
      <c r="B530" t="s">
        <v>9</v>
      </c>
      <c r="C530">
        <v>109.29</v>
      </c>
      <c r="D530">
        <v>101.48199</v>
      </c>
      <c r="E530" s="1">
        <v>40544</v>
      </c>
      <c r="F530">
        <f t="shared" si="16"/>
        <v>1</v>
      </c>
      <c r="G530">
        <f t="shared" si="17"/>
        <v>2011</v>
      </c>
    </row>
    <row r="531" spans="1:7" x14ac:dyDescent="0.25">
      <c r="A531" t="s">
        <v>5</v>
      </c>
      <c r="B531" t="s">
        <v>9</v>
      </c>
      <c r="C531">
        <v>110.27</v>
      </c>
      <c r="D531">
        <v>103.30334999999999</v>
      </c>
      <c r="E531" s="1">
        <v>40575</v>
      </c>
      <c r="F531">
        <f t="shared" si="16"/>
        <v>2</v>
      </c>
      <c r="G531">
        <f t="shared" si="17"/>
        <v>2011</v>
      </c>
    </row>
    <row r="532" spans="1:7" x14ac:dyDescent="0.25">
      <c r="A532" t="s">
        <v>5</v>
      </c>
      <c r="B532" t="s">
        <v>9</v>
      </c>
      <c r="C532">
        <v>111.05</v>
      </c>
      <c r="D532">
        <v>109.70204</v>
      </c>
      <c r="E532" s="1">
        <v>40603</v>
      </c>
      <c r="F532">
        <f t="shared" si="16"/>
        <v>3</v>
      </c>
      <c r="G532">
        <f t="shared" si="17"/>
        <v>2011</v>
      </c>
    </row>
    <row r="533" spans="1:7" x14ac:dyDescent="0.25">
      <c r="A533" t="s">
        <v>5</v>
      </c>
      <c r="B533" t="s">
        <v>9</v>
      </c>
      <c r="C533">
        <v>111.22</v>
      </c>
      <c r="D533">
        <v>108.66972</v>
      </c>
      <c r="E533" s="1">
        <v>40634</v>
      </c>
      <c r="F533">
        <f t="shared" si="16"/>
        <v>4</v>
      </c>
      <c r="G533">
        <f t="shared" si="17"/>
        <v>2011</v>
      </c>
    </row>
    <row r="534" spans="1:7" x14ac:dyDescent="0.25">
      <c r="A534" t="s">
        <v>5</v>
      </c>
      <c r="B534" t="s">
        <v>9</v>
      </c>
      <c r="C534">
        <v>112.57</v>
      </c>
      <c r="D534">
        <v>112.07566</v>
      </c>
      <c r="E534" s="1">
        <v>40664</v>
      </c>
      <c r="F534">
        <f t="shared" si="16"/>
        <v>5</v>
      </c>
      <c r="G534">
        <f t="shared" si="17"/>
        <v>2011</v>
      </c>
    </row>
    <row r="535" spans="1:7" x14ac:dyDescent="0.25">
      <c r="A535" t="s">
        <v>5</v>
      </c>
      <c r="B535" t="s">
        <v>9</v>
      </c>
      <c r="C535">
        <v>111.92</v>
      </c>
      <c r="D535">
        <v>110.654</v>
      </c>
      <c r="E535" s="1">
        <v>40695</v>
      </c>
      <c r="F535">
        <f t="shared" si="16"/>
        <v>6</v>
      </c>
      <c r="G535">
        <f t="shared" si="17"/>
        <v>2011</v>
      </c>
    </row>
    <row r="536" spans="1:7" x14ac:dyDescent="0.25">
      <c r="A536" t="s">
        <v>5</v>
      </c>
      <c r="B536" t="s">
        <v>9</v>
      </c>
      <c r="C536">
        <v>112.49</v>
      </c>
      <c r="D536">
        <v>112.63746</v>
      </c>
      <c r="E536" s="1">
        <v>40725</v>
      </c>
      <c r="F536">
        <f t="shared" si="16"/>
        <v>7</v>
      </c>
      <c r="G536">
        <f t="shared" si="17"/>
        <v>2011</v>
      </c>
    </row>
    <row r="537" spans="1:7" x14ac:dyDescent="0.25">
      <c r="A537" t="s">
        <v>5</v>
      </c>
      <c r="B537" t="s">
        <v>9</v>
      </c>
      <c r="C537">
        <v>115.34</v>
      </c>
      <c r="D537">
        <v>115.17283999999999</v>
      </c>
      <c r="E537" s="1">
        <v>40756</v>
      </c>
      <c r="F537">
        <f t="shared" si="16"/>
        <v>8</v>
      </c>
      <c r="G537">
        <f t="shared" si="17"/>
        <v>2011</v>
      </c>
    </row>
    <row r="538" spans="1:7" x14ac:dyDescent="0.25">
      <c r="A538" t="s">
        <v>5</v>
      </c>
      <c r="B538" t="s">
        <v>9</v>
      </c>
      <c r="C538">
        <v>114.11</v>
      </c>
      <c r="D538">
        <v>113.86852</v>
      </c>
      <c r="E538" s="1">
        <v>40787</v>
      </c>
      <c r="F538">
        <f t="shared" si="16"/>
        <v>9</v>
      </c>
      <c r="G538">
        <f t="shared" si="17"/>
        <v>2011</v>
      </c>
    </row>
    <row r="539" spans="1:7" x14ac:dyDescent="0.25">
      <c r="A539" t="s">
        <v>5</v>
      </c>
      <c r="B539" t="s">
        <v>9</v>
      </c>
      <c r="C539">
        <v>111.43</v>
      </c>
      <c r="D539">
        <v>112.61778</v>
      </c>
      <c r="E539" s="1">
        <v>40817</v>
      </c>
      <c r="F539">
        <f t="shared" si="16"/>
        <v>10</v>
      </c>
      <c r="G539">
        <f t="shared" si="17"/>
        <v>2011</v>
      </c>
    </row>
    <row r="540" spans="1:7" x14ac:dyDescent="0.25">
      <c r="A540" t="s">
        <v>5</v>
      </c>
      <c r="B540" t="s">
        <v>9</v>
      </c>
      <c r="C540">
        <v>115.62</v>
      </c>
      <c r="D540">
        <v>119.55535999999999</v>
      </c>
      <c r="E540" s="1">
        <v>40848</v>
      </c>
      <c r="F540">
        <f t="shared" si="16"/>
        <v>11</v>
      </c>
      <c r="G540">
        <f t="shared" si="17"/>
        <v>2011</v>
      </c>
    </row>
    <row r="541" spans="1:7" x14ac:dyDescent="0.25">
      <c r="A541" t="s">
        <v>5</v>
      </c>
      <c r="B541" t="s">
        <v>9</v>
      </c>
      <c r="C541">
        <v>116.61</v>
      </c>
      <c r="D541">
        <v>131.91139000000001</v>
      </c>
      <c r="E541" s="1">
        <v>40878</v>
      </c>
      <c r="F541">
        <f t="shared" si="16"/>
        <v>12</v>
      </c>
      <c r="G541">
        <f t="shared" si="17"/>
        <v>2011</v>
      </c>
    </row>
    <row r="542" spans="1:7" x14ac:dyDescent="0.25">
      <c r="A542" t="s">
        <v>5</v>
      </c>
      <c r="B542" t="s">
        <v>9</v>
      </c>
      <c r="C542">
        <v>116.92</v>
      </c>
      <c r="D542">
        <v>109.72083000000001</v>
      </c>
      <c r="E542" s="1">
        <v>40909</v>
      </c>
      <c r="F542">
        <f t="shared" si="16"/>
        <v>1</v>
      </c>
      <c r="G542">
        <f t="shared" si="17"/>
        <v>2012</v>
      </c>
    </row>
    <row r="543" spans="1:7" x14ac:dyDescent="0.25">
      <c r="A543" t="s">
        <v>5</v>
      </c>
      <c r="B543" t="s">
        <v>9</v>
      </c>
      <c r="C543">
        <v>117.09</v>
      </c>
      <c r="D543">
        <v>107.509</v>
      </c>
      <c r="E543" s="1">
        <v>40940</v>
      </c>
      <c r="F543">
        <f t="shared" si="16"/>
        <v>2</v>
      </c>
      <c r="G543">
        <f t="shared" si="17"/>
        <v>2012</v>
      </c>
    </row>
    <row r="544" spans="1:7" x14ac:dyDescent="0.25">
      <c r="A544" t="s">
        <v>5</v>
      </c>
      <c r="B544" t="s">
        <v>9</v>
      </c>
      <c r="C544">
        <v>119.11</v>
      </c>
      <c r="D544">
        <v>119.58172999999999</v>
      </c>
      <c r="E544" s="1">
        <v>40969</v>
      </c>
      <c r="F544">
        <f t="shared" si="16"/>
        <v>3</v>
      </c>
      <c r="G544">
        <f t="shared" si="17"/>
        <v>2012</v>
      </c>
    </row>
    <row r="545" spans="1:7" x14ac:dyDescent="0.25">
      <c r="A545" t="s">
        <v>5</v>
      </c>
      <c r="B545" t="s">
        <v>9</v>
      </c>
      <c r="C545">
        <v>117.14</v>
      </c>
      <c r="D545">
        <v>114.11166</v>
      </c>
      <c r="E545" s="1">
        <v>41000</v>
      </c>
      <c r="F545">
        <f t="shared" si="16"/>
        <v>4</v>
      </c>
      <c r="G545">
        <f t="shared" si="17"/>
        <v>2012</v>
      </c>
    </row>
    <row r="546" spans="1:7" x14ac:dyDescent="0.25">
      <c r="A546" t="s">
        <v>5</v>
      </c>
      <c r="B546" t="s">
        <v>9</v>
      </c>
      <c r="C546">
        <v>117.99</v>
      </c>
      <c r="D546">
        <v>118.30074</v>
      </c>
      <c r="E546" s="1">
        <v>41030</v>
      </c>
      <c r="F546">
        <f t="shared" si="16"/>
        <v>5</v>
      </c>
      <c r="G546">
        <f t="shared" si="17"/>
        <v>2012</v>
      </c>
    </row>
    <row r="547" spans="1:7" x14ac:dyDescent="0.25">
      <c r="A547" t="s">
        <v>5</v>
      </c>
      <c r="B547" t="s">
        <v>9</v>
      </c>
      <c r="C547">
        <v>118.36</v>
      </c>
      <c r="D547">
        <v>116.75896</v>
      </c>
      <c r="E547" s="1">
        <v>41061</v>
      </c>
      <c r="F547">
        <f t="shared" si="16"/>
        <v>6</v>
      </c>
      <c r="G547">
        <f t="shared" si="17"/>
        <v>2012</v>
      </c>
    </row>
    <row r="548" spans="1:7" x14ac:dyDescent="0.25">
      <c r="A548" t="s">
        <v>5</v>
      </c>
      <c r="B548" t="s">
        <v>9</v>
      </c>
      <c r="C548">
        <v>118.84</v>
      </c>
      <c r="D548">
        <v>119.54995</v>
      </c>
      <c r="E548" s="1">
        <v>41091</v>
      </c>
      <c r="F548">
        <f t="shared" si="16"/>
        <v>7</v>
      </c>
      <c r="G548">
        <f t="shared" si="17"/>
        <v>2012</v>
      </c>
    </row>
    <row r="549" spans="1:7" x14ac:dyDescent="0.25">
      <c r="A549" t="s">
        <v>5</v>
      </c>
      <c r="B549" t="s">
        <v>9</v>
      </c>
      <c r="C549">
        <v>118.93</v>
      </c>
      <c r="D549">
        <v>118.83508</v>
      </c>
      <c r="E549" s="1">
        <v>41122</v>
      </c>
      <c r="F549">
        <f t="shared" si="16"/>
        <v>8</v>
      </c>
      <c r="G549">
        <f t="shared" si="17"/>
        <v>2012</v>
      </c>
    </row>
    <row r="550" spans="1:7" x14ac:dyDescent="0.25">
      <c r="A550" t="s">
        <v>5</v>
      </c>
      <c r="B550" t="s">
        <v>9</v>
      </c>
      <c r="C550">
        <v>117.33</v>
      </c>
      <c r="D550">
        <v>115.13236999999999</v>
      </c>
      <c r="E550" s="1">
        <v>41153</v>
      </c>
      <c r="F550">
        <f t="shared" si="16"/>
        <v>9</v>
      </c>
      <c r="G550">
        <f t="shared" si="17"/>
        <v>2012</v>
      </c>
    </row>
    <row r="551" spans="1:7" x14ac:dyDescent="0.25">
      <c r="A551" t="s">
        <v>5</v>
      </c>
      <c r="B551" t="s">
        <v>9</v>
      </c>
      <c r="C551">
        <v>117.58</v>
      </c>
      <c r="D551">
        <v>120.56072</v>
      </c>
      <c r="E551" s="1">
        <v>41183</v>
      </c>
      <c r="F551">
        <f t="shared" si="16"/>
        <v>10</v>
      </c>
      <c r="G551">
        <f t="shared" si="17"/>
        <v>2012</v>
      </c>
    </row>
    <row r="552" spans="1:7" x14ac:dyDescent="0.25">
      <c r="A552" t="s">
        <v>5</v>
      </c>
      <c r="B552" t="s">
        <v>9</v>
      </c>
      <c r="C552">
        <v>116.07</v>
      </c>
      <c r="D552">
        <v>120.37408000000001</v>
      </c>
      <c r="E552" s="1">
        <v>41214</v>
      </c>
      <c r="F552">
        <f t="shared" si="16"/>
        <v>11</v>
      </c>
      <c r="G552">
        <f t="shared" si="17"/>
        <v>2012</v>
      </c>
    </row>
    <row r="553" spans="1:7" x14ac:dyDescent="0.25">
      <c r="A553" t="s">
        <v>5</v>
      </c>
      <c r="B553" t="s">
        <v>9</v>
      </c>
      <c r="C553">
        <v>119.72</v>
      </c>
      <c r="D553">
        <v>133.82919000000001</v>
      </c>
      <c r="E553" s="1">
        <v>41244</v>
      </c>
      <c r="F553">
        <f t="shared" si="16"/>
        <v>12</v>
      </c>
      <c r="G553">
        <f t="shared" si="17"/>
        <v>2012</v>
      </c>
    </row>
    <row r="554" spans="1:7" x14ac:dyDescent="0.25">
      <c r="A554" t="s">
        <v>5</v>
      </c>
      <c r="B554" t="s">
        <v>9</v>
      </c>
      <c r="C554">
        <v>117.72</v>
      </c>
      <c r="D554">
        <v>111.22247</v>
      </c>
      <c r="E554" s="1">
        <v>41275</v>
      </c>
      <c r="F554">
        <f t="shared" si="16"/>
        <v>1</v>
      </c>
      <c r="G554">
        <f t="shared" si="17"/>
        <v>2013</v>
      </c>
    </row>
    <row r="555" spans="1:7" x14ac:dyDescent="0.25">
      <c r="A555" t="s">
        <v>5</v>
      </c>
      <c r="B555" t="s">
        <v>9</v>
      </c>
      <c r="C555">
        <v>117.76</v>
      </c>
      <c r="D555">
        <v>108.65028</v>
      </c>
      <c r="E555" s="1">
        <v>41306</v>
      </c>
      <c r="F555">
        <f t="shared" si="16"/>
        <v>2</v>
      </c>
      <c r="G555">
        <f t="shared" si="17"/>
        <v>2013</v>
      </c>
    </row>
    <row r="556" spans="1:7" x14ac:dyDescent="0.25">
      <c r="A556" t="s">
        <v>5</v>
      </c>
      <c r="B556" t="s">
        <v>9</v>
      </c>
      <c r="C556">
        <v>116.79</v>
      </c>
      <c r="D556">
        <v>114.57084999999999</v>
      </c>
      <c r="E556" s="1">
        <v>41334</v>
      </c>
      <c r="F556">
        <f t="shared" si="16"/>
        <v>3</v>
      </c>
      <c r="G556">
        <f t="shared" si="17"/>
        <v>2013</v>
      </c>
    </row>
    <row r="557" spans="1:7" x14ac:dyDescent="0.25">
      <c r="A557" t="s">
        <v>5</v>
      </c>
      <c r="B557" t="s">
        <v>9</v>
      </c>
      <c r="C557">
        <v>118.78</v>
      </c>
      <c r="D557">
        <v>118.37548</v>
      </c>
      <c r="E557" s="1">
        <v>41365</v>
      </c>
      <c r="F557">
        <f t="shared" si="16"/>
        <v>4</v>
      </c>
      <c r="G557">
        <f t="shared" si="17"/>
        <v>2013</v>
      </c>
    </row>
    <row r="558" spans="1:7" x14ac:dyDescent="0.25">
      <c r="A558" t="s">
        <v>5</v>
      </c>
      <c r="B558" t="s">
        <v>9</v>
      </c>
      <c r="C558">
        <v>117.44</v>
      </c>
      <c r="D558">
        <v>117.39870999999999</v>
      </c>
      <c r="E558" s="1">
        <v>41395</v>
      </c>
      <c r="F558">
        <f t="shared" si="16"/>
        <v>5</v>
      </c>
      <c r="G558">
        <f t="shared" si="17"/>
        <v>2013</v>
      </c>
    </row>
    <row r="559" spans="1:7" x14ac:dyDescent="0.25">
      <c r="A559" t="s">
        <v>5</v>
      </c>
      <c r="B559" t="s">
        <v>9</v>
      </c>
      <c r="C559">
        <v>118.72</v>
      </c>
      <c r="D559">
        <v>116.27216</v>
      </c>
      <c r="E559" s="1">
        <v>41426</v>
      </c>
      <c r="F559">
        <f t="shared" si="16"/>
        <v>6</v>
      </c>
      <c r="G559">
        <f t="shared" si="17"/>
        <v>2013</v>
      </c>
    </row>
    <row r="560" spans="1:7" x14ac:dyDescent="0.25">
      <c r="A560" t="s">
        <v>5</v>
      </c>
      <c r="B560" t="s">
        <v>9</v>
      </c>
      <c r="C560">
        <v>118.05</v>
      </c>
      <c r="D560">
        <v>119.68007</v>
      </c>
      <c r="E560" s="1">
        <v>41456</v>
      </c>
      <c r="F560">
        <f t="shared" si="16"/>
        <v>7</v>
      </c>
      <c r="G560">
        <f t="shared" si="17"/>
        <v>2013</v>
      </c>
    </row>
    <row r="561" spans="1:7" x14ac:dyDescent="0.25">
      <c r="A561" t="s">
        <v>5</v>
      </c>
      <c r="B561" t="s">
        <v>9</v>
      </c>
      <c r="C561">
        <v>116.93</v>
      </c>
      <c r="D561">
        <v>116.39653</v>
      </c>
      <c r="E561" s="1">
        <v>41487</v>
      </c>
      <c r="F561">
        <f t="shared" si="16"/>
        <v>8</v>
      </c>
      <c r="G561">
        <f t="shared" si="17"/>
        <v>2013</v>
      </c>
    </row>
    <row r="562" spans="1:7" x14ac:dyDescent="0.25">
      <c r="A562" t="s">
        <v>5</v>
      </c>
      <c r="B562" t="s">
        <v>9</v>
      </c>
      <c r="C562">
        <v>117.43</v>
      </c>
      <c r="D562">
        <v>116.17283</v>
      </c>
      <c r="E562" s="1">
        <v>41518</v>
      </c>
      <c r="F562">
        <f t="shared" si="16"/>
        <v>9</v>
      </c>
      <c r="G562">
        <f t="shared" si="17"/>
        <v>2013</v>
      </c>
    </row>
    <row r="563" spans="1:7" x14ac:dyDescent="0.25">
      <c r="A563" t="s">
        <v>5</v>
      </c>
      <c r="B563" t="s">
        <v>9</v>
      </c>
      <c r="C563">
        <v>116.05</v>
      </c>
      <c r="D563">
        <v>119.17744</v>
      </c>
      <c r="E563" s="1">
        <v>41548</v>
      </c>
      <c r="F563">
        <f t="shared" si="16"/>
        <v>10</v>
      </c>
      <c r="G563">
        <f t="shared" si="17"/>
        <v>2013</v>
      </c>
    </row>
    <row r="564" spans="1:7" x14ac:dyDescent="0.25">
      <c r="A564" t="s">
        <v>5</v>
      </c>
      <c r="B564" t="s">
        <v>9</v>
      </c>
      <c r="C564">
        <v>117.98</v>
      </c>
      <c r="D564">
        <v>121.63881000000001</v>
      </c>
      <c r="E564" s="1">
        <v>41579</v>
      </c>
      <c r="F564">
        <f t="shared" si="16"/>
        <v>11</v>
      </c>
      <c r="G564">
        <f t="shared" si="17"/>
        <v>2013</v>
      </c>
    </row>
    <row r="565" spans="1:7" x14ac:dyDescent="0.25">
      <c r="A565" t="s">
        <v>5</v>
      </c>
      <c r="B565" t="s">
        <v>9</v>
      </c>
      <c r="C565">
        <v>117.28</v>
      </c>
      <c r="D565">
        <v>131.98163</v>
      </c>
      <c r="E565" s="1">
        <v>41609</v>
      </c>
      <c r="F565">
        <f t="shared" si="16"/>
        <v>12</v>
      </c>
      <c r="G565">
        <f t="shared" si="17"/>
        <v>2013</v>
      </c>
    </row>
    <row r="566" spans="1:7" x14ac:dyDescent="0.25">
      <c r="A566" t="s">
        <v>5</v>
      </c>
      <c r="B566" t="s">
        <v>9</v>
      </c>
      <c r="C566">
        <v>118.57</v>
      </c>
      <c r="D566">
        <v>112.06854</v>
      </c>
      <c r="E566" s="1">
        <v>41640</v>
      </c>
      <c r="F566">
        <f t="shared" si="16"/>
        <v>1</v>
      </c>
      <c r="G566">
        <f t="shared" si="17"/>
        <v>2014</v>
      </c>
    </row>
    <row r="567" spans="1:7" x14ac:dyDescent="0.25">
      <c r="A567" t="s">
        <v>5</v>
      </c>
      <c r="B567" t="s">
        <v>9</v>
      </c>
      <c r="C567">
        <v>117.57</v>
      </c>
      <c r="D567">
        <v>109.95158000000001</v>
      </c>
      <c r="E567" s="1">
        <v>41671</v>
      </c>
      <c r="F567">
        <f t="shared" si="16"/>
        <v>2</v>
      </c>
      <c r="G567">
        <f t="shared" si="17"/>
        <v>2014</v>
      </c>
    </row>
    <row r="568" spans="1:7" x14ac:dyDescent="0.25">
      <c r="A568" t="s">
        <v>5</v>
      </c>
      <c r="B568" t="s">
        <v>9</v>
      </c>
      <c r="C568">
        <v>117.15</v>
      </c>
      <c r="D568">
        <v>114.65709</v>
      </c>
      <c r="E568" s="1">
        <v>41699</v>
      </c>
      <c r="F568">
        <f t="shared" si="16"/>
        <v>3</v>
      </c>
      <c r="G568">
        <f t="shared" si="17"/>
        <v>2014</v>
      </c>
    </row>
    <row r="569" spans="1:7" x14ac:dyDescent="0.25">
      <c r="A569" t="s">
        <v>5</v>
      </c>
      <c r="B569" t="s">
        <v>9</v>
      </c>
      <c r="C569">
        <v>116.84</v>
      </c>
      <c r="D569">
        <v>114.61832</v>
      </c>
      <c r="E569" s="1">
        <v>41730</v>
      </c>
      <c r="F569">
        <f t="shared" si="16"/>
        <v>4</v>
      </c>
      <c r="G569">
        <f t="shared" si="17"/>
        <v>2014</v>
      </c>
    </row>
    <row r="570" spans="1:7" x14ac:dyDescent="0.25">
      <c r="A570" t="s">
        <v>5</v>
      </c>
      <c r="B570" t="s">
        <v>9</v>
      </c>
      <c r="C570">
        <v>116.81</v>
      </c>
      <c r="D570">
        <v>116.8005</v>
      </c>
      <c r="E570" s="1">
        <v>41760</v>
      </c>
      <c r="F570">
        <f t="shared" si="16"/>
        <v>5</v>
      </c>
      <c r="G570">
        <f t="shared" si="17"/>
        <v>2014</v>
      </c>
    </row>
    <row r="571" spans="1:7" x14ac:dyDescent="0.25">
      <c r="A571" t="s">
        <v>5</v>
      </c>
      <c r="B571" t="s">
        <v>9</v>
      </c>
      <c r="C571">
        <v>116.44</v>
      </c>
      <c r="D571">
        <v>114.35296</v>
      </c>
      <c r="E571" s="1">
        <v>41791</v>
      </c>
      <c r="F571">
        <f t="shared" si="16"/>
        <v>6</v>
      </c>
      <c r="G571">
        <f t="shared" si="17"/>
        <v>2014</v>
      </c>
    </row>
    <row r="572" spans="1:7" x14ac:dyDescent="0.25">
      <c r="A572" t="s">
        <v>5</v>
      </c>
      <c r="B572" t="s">
        <v>9</v>
      </c>
      <c r="C572">
        <v>117.01</v>
      </c>
      <c r="D572">
        <v>118.4748</v>
      </c>
      <c r="E572" s="1">
        <v>41821</v>
      </c>
      <c r="F572">
        <f t="shared" si="16"/>
        <v>7</v>
      </c>
      <c r="G572">
        <f t="shared" si="17"/>
        <v>2014</v>
      </c>
    </row>
    <row r="573" spans="1:7" x14ac:dyDescent="0.25">
      <c r="A573" t="s">
        <v>5</v>
      </c>
      <c r="B573" t="s">
        <v>9</v>
      </c>
      <c r="C573">
        <v>117.48</v>
      </c>
      <c r="D573">
        <v>115.87853</v>
      </c>
      <c r="E573" s="1">
        <v>41852</v>
      </c>
      <c r="F573">
        <f t="shared" si="16"/>
        <v>8</v>
      </c>
      <c r="G573">
        <f t="shared" si="17"/>
        <v>2014</v>
      </c>
    </row>
    <row r="574" spans="1:7" x14ac:dyDescent="0.25">
      <c r="A574" t="s">
        <v>5</v>
      </c>
      <c r="B574" t="s">
        <v>9</v>
      </c>
      <c r="C574">
        <v>119.07</v>
      </c>
      <c r="D574">
        <v>119.05839</v>
      </c>
      <c r="E574" s="1">
        <v>41883</v>
      </c>
      <c r="F574">
        <f t="shared" si="16"/>
        <v>9</v>
      </c>
      <c r="G574">
        <f t="shared" si="17"/>
        <v>2014</v>
      </c>
    </row>
    <row r="575" spans="1:7" x14ac:dyDescent="0.25">
      <c r="A575" t="s">
        <v>5</v>
      </c>
      <c r="B575" t="s">
        <v>9</v>
      </c>
      <c r="C575">
        <v>118.89</v>
      </c>
      <c r="D575">
        <v>122.52574</v>
      </c>
      <c r="E575" s="1">
        <v>41913</v>
      </c>
      <c r="F575">
        <f t="shared" si="16"/>
        <v>10</v>
      </c>
      <c r="G575">
        <f t="shared" si="17"/>
        <v>2014</v>
      </c>
    </row>
    <row r="576" spans="1:7" x14ac:dyDescent="0.25">
      <c r="A576" t="s">
        <v>5</v>
      </c>
      <c r="B576" t="s">
        <v>9</v>
      </c>
      <c r="C576">
        <v>117.59</v>
      </c>
      <c r="D576">
        <v>119.96576</v>
      </c>
      <c r="E576" s="1">
        <v>41944</v>
      </c>
      <c r="F576">
        <f t="shared" si="16"/>
        <v>11</v>
      </c>
      <c r="G576">
        <f t="shared" si="17"/>
        <v>2014</v>
      </c>
    </row>
    <row r="577" spans="1:7" x14ac:dyDescent="0.25">
      <c r="A577" t="s">
        <v>5</v>
      </c>
      <c r="B577" t="s">
        <v>9</v>
      </c>
      <c r="C577">
        <v>120.1</v>
      </c>
      <c r="D577">
        <v>135.69248999999999</v>
      </c>
      <c r="E577" s="1">
        <v>41974</v>
      </c>
      <c r="F577">
        <f t="shared" si="16"/>
        <v>12</v>
      </c>
      <c r="G577">
        <f t="shared" si="17"/>
        <v>2014</v>
      </c>
    </row>
    <row r="578" spans="1:7" x14ac:dyDescent="0.25">
      <c r="A578" t="s">
        <v>5</v>
      </c>
      <c r="B578" t="s">
        <v>9</v>
      </c>
      <c r="C578">
        <v>116.7</v>
      </c>
      <c r="D578">
        <v>109.41358</v>
      </c>
      <c r="E578" s="1">
        <v>42005</v>
      </c>
      <c r="F578">
        <f t="shared" ref="F578:F641" si="18">MONTH(E578)</f>
        <v>1</v>
      </c>
      <c r="G578">
        <f t="shared" ref="G578:G641" si="19">YEAR(E578)</f>
        <v>2015</v>
      </c>
    </row>
    <row r="579" spans="1:7" x14ac:dyDescent="0.25">
      <c r="A579" t="s">
        <v>5</v>
      </c>
      <c r="B579" t="s">
        <v>9</v>
      </c>
      <c r="C579">
        <v>114.75</v>
      </c>
      <c r="D579">
        <v>105.45135000000001</v>
      </c>
      <c r="E579" s="1">
        <v>42036</v>
      </c>
      <c r="F579">
        <f t="shared" si="18"/>
        <v>2</v>
      </c>
      <c r="G579">
        <f t="shared" si="19"/>
        <v>2015</v>
      </c>
    </row>
    <row r="580" spans="1:7" x14ac:dyDescent="0.25">
      <c r="A580" t="s">
        <v>5</v>
      </c>
      <c r="B580" t="s">
        <v>9</v>
      </c>
      <c r="C580">
        <v>116.19</v>
      </c>
      <c r="D580">
        <v>115.69394</v>
      </c>
      <c r="E580" s="1">
        <v>42064</v>
      </c>
      <c r="F580">
        <f t="shared" si="18"/>
        <v>3</v>
      </c>
      <c r="G580">
        <f t="shared" si="19"/>
        <v>2015</v>
      </c>
    </row>
    <row r="581" spans="1:7" x14ac:dyDescent="0.25">
      <c r="A581" t="s">
        <v>5</v>
      </c>
      <c r="B581" t="s">
        <v>9</v>
      </c>
      <c r="C581">
        <v>115.36</v>
      </c>
      <c r="D581">
        <v>113.20108</v>
      </c>
      <c r="E581" s="1">
        <v>42095</v>
      </c>
      <c r="F581">
        <f t="shared" si="18"/>
        <v>4</v>
      </c>
      <c r="G581">
        <f t="shared" si="19"/>
        <v>2015</v>
      </c>
    </row>
    <row r="582" spans="1:7" x14ac:dyDescent="0.25">
      <c r="A582" t="s">
        <v>5</v>
      </c>
      <c r="B582" t="s">
        <v>9</v>
      </c>
      <c r="C582">
        <v>115.18</v>
      </c>
      <c r="D582">
        <v>114.00776999999999</v>
      </c>
      <c r="E582" s="1">
        <v>42125</v>
      </c>
      <c r="F582">
        <f t="shared" si="18"/>
        <v>5</v>
      </c>
      <c r="G582">
        <f t="shared" si="19"/>
        <v>2015</v>
      </c>
    </row>
    <row r="583" spans="1:7" x14ac:dyDescent="0.25">
      <c r="A583" t="s">
        <v>5</v>
      </c>
      <c r="B583" t="s">
        <v>9</v>
      </c>
      <c r="C583">
        <v>113.87</v>
      </c>
      <c r="D583">
        <v>112.88484</v>
      </c>
      <c r="E583" s="1">
        <v>42156</v>
      </c>
      <c r="F583">
        <f t="shared" si="18"/>
        <v>6</v>
      </c>
      <c r="G583">
        <f t="shared" si="19"/>
        <v>2015</v>
      </c>
    </row>
    <row r="584" spans="1:7" x14ac:dyDescent="0.25">
      <c r="A584" t="s">
        <v>5</v>
      </c>
      <c r="B584" t="s">
        <v>9</v>
      </c>
      <c r="C584">
        <v>112.23</v>
      </c>
      <c r="D584">
        <v>113.90226</v>
      </c>
      <c r="E584" s="1">
        <v>42186</v>
      </c>
      <c r="F584">
        <f t="shared" si="18"/>
        <v>7</v>
      </c>
      <c r="G584">
        <f t="shared" si="19"/>
        <v>2015</v>
      </c>
    </row>
    <row r="585" spans="1:7" x14ac:dyDescent="0.25">
      <c r="A585" t="s">
        <v>5</v>
      </c>
      <c r="B585" t="s">
        <v>9</v>
      </c>
      <c r="C585">
        <v>111.49</v>
      </c>
      <c r="D585">
        <v>110.02291</v>
      </c>
      <c r="E585" s="1">
        <v>42217</v>
      </c>
      <c r="F585">
        <f t="shared" si="18"/>
        <v>8</v>
      </c>
      <c r="G585">
        <f t="shared" si="19"/>
        <v>2015</v>
      </c>
    </row>
    <row r="586" spans="1:7" x14ac:dyDescent="0.25">
      <c r="A586" t="s">
        <v>5</v>
      </c>
      <c r="B586" t="s">
        <v>9</v>
      </c>
      <c r="C586">
        <v>109.43</v>
      </c>
      <c r="D586">
        <v>109.3964</v>
      </c>
      <c r="E586" s="1">
        <v>42248</v>
      </c>
      <c r="F586">
        <f t="shared" si="18"/>
        <v>9</v>
      </c>
      <c r="G586">
        <f t="shared" si="19"/>
        <v>2015</v>
      </c>
    </row>
    <row r="587" spans="1:7" x14ac:dyDescent="0.25">
      <c r="A587" t="s">
        <v>5</v>
      </c>
      <c r="B587" t="s">
        <v>9</v>
      </c>
      <c r="C587">
        <v>110.18</v>
      </c>
      <c r="D587">
        <v>113.59157999999999</v>
      </c>
      <c r="E587" s="1">
        <v>42278</v>
      </c>
      <c r="F587">
        <f t="shared" si="18"/>
        <v>10</v>
      </c>
      <c r="G587">
        <f t="shared" si="19"/>
        <v>2015</v>
      </c>
    </row>
    <row r="588" spans="1:7" x14ac:dyDescent="0.25">
      <c r="A588" t="s">
        <v>5</v>
      </c>
      <c r="B588" t="s">
        <v>9</v>
      </c>
      <c r="C588">
        <v>108.73</v>
      </c>
      <c r="D588">
        <v>111.98497</v>
      </c>
      <c r="E588" s="1">
        <v>42309</v>
      </c>
      <c r="F588">
        <f t="shared" si="18"/>
        <v>11</v>
      </c>
      <c r="G588">
        <f t="shared" si="19"/>
        <v>2015</v>
      </c>
    </row>
    <row r="589" spans="1:7" x14ac:dyDescent="0.25">
      <c r="A589" t="s">
        <v>5</v>
      </c>
      <c r="B589" t="s">
        <v>9</v>
      </c>
      <c r="C589">
        <v>108.47</v>
      </c>
      <c r="D589">
        <v>123.80345</v>
      </c>
      <c r="E589" s="1">
        <v>42339</v>
      </c>
      <c r="F589">
        <f t="shared" si="18"/>
        <v>12</v>
      </c>
      <c r="G589">
        <f t="shared" si="19"/>
        <v>2015</v>
      </c>
    </row>
    <row r="590" spans="1:7" x14ac:dyDescent="0.25">
      <c r="A590" t="s">
        <v>5</v>
      </c>
      <c r="B590" t="s">
        <v>9</v>
      </c>
      <c r="C590">
        <v>108.22</v>
      </c>
      <c r="D590">
        <v>99.451949999999997</v>
      </c>
      <c r="E590" s="1">
        <v>42370</v>
      </c>
      <c r="F590">
        <f t="shared" si="18"/>
        <v>1</v>
      </c>
      <c r="G590">
        <f t="shared" si="19"/>
        <v>2016</v>
      </c>
    </row>
    <row r="591" spans="1:7" x14ac:dyDescent="0.25">
      <c r="A591" t="s">
        <v>5</v>
      </c>
      <c r="B591" t="s">
        <v>9</v>
      </c>
      <c r="C591">
        <v>110.51</v>
      </c>
      <c r="D591">
        <v>100.94571999999999</v>
      </c>
      <c r="E591" s="1">
        <v>42401</v>
      </c>
      <c r="F591">
        <f t="shared" si="18"/>
        <v>2</v>
      </c>
      <c r="G591">
        <f t="shared" si="19"/>
        <v>2016</v>
      </c>
    </row>
    <row r="592" spans="1:7" x14ac:dyDescent="0.25">
      <c r="A592" t="s">
        <v>5</v>
      </c>
      <c r="B592" t="s">
        <v>9</v>
      </c>
      <c r="C592">
        <v>109.37</v>
      </c>
      <c r="D592">
        <v>107.81401</v>
      </c>
      <c r="E592" s="1">
        <v>42430</v>
      </c>
      <c r="F592">
        <f t="shared" si="18"/>
        <v>3</v>
      </c>
      <c r="G592">
        <f t="shared" si="19"/>
        <v>2016</v>
      </c>
    </row>
    <row r="593" spans="1:7" x14ac:dyDescent="0.25">
      <c r="A593" t="s">
        <v>5</v>
      </c>
      <c r="B593" t="s">
        <v>9</v>
      </c>
      <c r="C593">
        <v>108.03</v>
      </c>
      <c r="D593">
        <v>107.13748</v>
      </c>
      <c r="E593" s="1">
        <v>42461</v>
      </c>
      <c r="F593">
        <f t="shared" si="18"/>
        <v>4</v>
      </c>
      <c r="G593">
        <f t="shared" si="19"/>
        <v>2016</v>
      </c>
    </row>
    <row r="594" spans="1:7" x14ac:dyDescent="0.25">
      <c r="A594" t="s">
        <v>5</v>
      </c>
      <c r="B594" t="s">
        <v>9</v>
      </c>
      <c r="C594">
        <v>107.27</v>
      </c>
      <c r="D594">
        <v>105.16628</v>
      </c>
      <c r="E594" s="1">
        <v>42491</v>
      </c>
      <c r="F594">
        <f t="shared" si="18"/>
        <v>5</v>
      </c>
      <c r="G594">
        <f t="shared" si="19"/>
        <v>2016</v>
      </c>
    </row>
    <row r="595" spans="1:7" x14ac:dyDescent="0.25">
      <c r="A595" t="s">
        <v>5</v>
      </c>
      <c r="B595" t="s">
        <v>9</v>
      </c>
      <c r="C595">
        <v>105.8</v>
      </c>
      <c r="D595">
        <v>106.25230999999999</v>
      </c>
      <c r="E595" s="1">
        <v>42522</v>
      </c>
      <c r="F595">
        <f t="shared" si="18"/>
        <v>6</v>
      </c>
      <c r="G595">
        <f t="shared" si="19"/>
        <v>2016</v>
      </c>
    </row>
    <row r="596" spans="1:7" x14ac:dyDescent="0.25">
      <c r="A596" t="s">
        <v>5</v>
      </c>
      <c r="B596" t="s">
        <v>9</v>
      </c>
      <c r="C596">
        <v>108.27</v>
      </c>
      <c r="D596">
        <v>108.20851999999999</v>
      </c>
      <c r="E596" s="1">
        <v>42552</v>
      </c>
      <c r="F596">
        <f t="shared" si="18"/>
        <v>7</v>
      </c>
      <c r="G596">
        <f t="shared" si="19"/>
        <v>2016</v>
      </c>
    </row>
    <row r="597" spans="1:7" x14ac:dyDescent="0.25">
      <c r="A597" t="s">
        <v>5</v>
      </c>
      <c r="B597" t="s">
        <v>9</v>
      </c>
      <c r="C597">
        <v>105.69</v>
      </c>
      <c r="D597">
        <v>105.91784</v>
      </c>
      <c r="E597" s="1">
        <v>42583</v>
      </c>
      <c r="F597">
        <f t="shared" si="18"/>
        <v>8</v>
      </c>
      <c r="G597">
        <f t="shared" si="19"/>
        <v>2016</v>
      </c>
    </row>
    <row r="598" spans="1:7" x14ac:dyDescent="0.25">
      <c r="A598" t="s">
        <v>5</v>
      </c>
      <c r="B598" t="s">
        <v>9</v>
      </c>
      <c r="C598">
        <v>104.53</v>
      </c>
      <c r="D598">
        <v>105.26854</v>
      </c>
      <c r="E598" s="1">
        <v>42614</v>
      </c>
      <c r="F598">
        <f t="shared" si="18"/>
        <v>9</v>
      </c>
      <c r="G598">
        <f t="shared" si="19"/>
        <v>2016</v>
      </c>
    </row>
    <row r="599" spans="1:7" x14ac:dyDescent="0.25">
      <c r="A599" t="s">
        <v>5</v>
      </c>
      <c r="B599" t="s">
        <v>9</v>
      </c>
      <c r="C599">
        <v>104.74</v>
      </c>
      <c r="D599">
        <v>107.14033999999999</v>
      </c>
      <c r="E599" s="1">
        <v>42644</v>
      </c>
      <c r="F599">
        <f t="shared" si="18"/>
        <v>10</v>
      </c>
      <c r="G599">
        <f t="shared" si="19"/>
        <v>2016</v>
      </c>
    </row>
    <row r="600" spans="1:7" x14ac:dyDescent="0.25">
      <c r="A600" t="s">
        <v>5</v>
      </c>
      <c r="B600" t="s">
        <v>9</v>
      </c>
      <c r="C600">
        <v>103.85</v>
      </c>
      <c r="D600">
        <v>107.97213000000001</v>
      </c>
      <c r="E600" s="1">
        <v>42675</v>
      </c>
      <c r="F600">
        <f t="shared" si="18"/>
        <v>11</v>
      </c>
      <c r="G600">
        <f t="shared" si="19"/>
        <v>2016</v>
      </c>
    </row>
    <row r="601" spans="1:7" x14ac:dyDescent="0.25">
      <c r="A601" t="s">
        <v>5</v>
      </c>
      <c r="B601" t="s">
        <v>9</v>
      </c>
      <c r="C601">
        <v>102.9</v>
      </c>
      <c r="D601">
        <v>117.79062</v>
      </c>
      <c r="E601" s="1">
        <v>42705</v>
      </c>
      <c r="F601">
        <f t="shared" si="18"/>
        <v>12</v>
      </c>
      <c r="G601">
        <f t="shared" si="19"/>
        <v>2016</v>
      </c>
    </row>
    <row r="602" spans="1:7" x14ac:dyDescent="0.25">
      <c r="A602" t="s">
        <v>5</v>
      </c>
      <c r="B602" t="s">
        <v>9</v>
      </c>
      <c r="C602">
        <v>101.21</v>
      </c>
      <c r="D602">
        <v>92.728250000000003</v>
      </c>
      <c r="E602" s="1">
        <v>42736</v>
      </c>
      <c r="F602">
        <f t="shared" si="18"/>
        <v>1</v>
      </c>
      <c r="G602">
        <f t="shared" si="19"/>
        <v>2017</v>
      </c>
    </row>
    <row r="603" spans="1:7" x14ac:dyDescent="0.25">
      <c r="A603" t="s">
        <v>5</v>
      </c>
      <c r="B603" t="s">
        <v>9</v>
      </c>
      <c r="C603">
        <v>99.09</v>
      </c>
      <c r="D603">
        <v>89.651009999999999</v>
      </c>
      <c r="E603" s="1">
        <v>42767</v>
      </c>
      <c r="F603">
        <f t="shared" si="18"/>
        <v>2</v>
      </c>
      <c r="G603">
        <f t="shared" si="19"/>
        <v>2017</v>
      </c>
    </row>
    <row r="604" spans="1:7" x14ac:dyDescent="0.25">
      <c r="A604" t="s">
        <v>5</v>
      </c>
      <c r="B604" t="s">
        <v>9</v>
      </c>
      <c r="C604">
        <v>97.06</v>
      </c>
      <c r="D604">
        <v>96.987849999999995</v>
      </c>
      <c r="E604" s="1">
        <v>42795</v>
      </c>
      <c r="F604">
        <f t="shared" si="18"/>
        <v>3</v>
      </c>
      <c r="G604">
        <f t="shared" si="19"/>
        <v>2017</v>
      </c>
    </row>
    <row r="605" spans="1:7" x14ac:dyDescent="0.25">
      <c r="A605" t="s">
        <v>5</v>
      </c>
      <c r="B605" t="s">
        <v>9</v>
      </c>
      <c r="C605">
        <v>98.55</v>
      </c>
      <c r="D605">
        <v>94.890289999999993</v>
      </c>
      <c r="E605" s="1">
        <v>42826</v>
      </c>
      <c r="F605">
        <f t="shared" si="18"/>
        <v>4</v>
      </c>
      <c r="G605">
        <f t="shared" si="19"/>
        <v>2017</v>
      </c>
    </row>
    <row r="606" spans="1:7" x14ac:dyDescent="0.25">
      <c r="A606" t="s">
        <v>5</v>
      </c>
      <c r="B606" t="s">
        <v>9</v>
      </c>
      <c r="C606">
        <v>98.99</v>
      </c>
      <c r="D606">
        <v>99.574860000000001</v>
      </c>
      <c r="E606" s="1">
        <v>42856</v>
      </c>
      <c r="F606">
        <f t="shared" si="18"/>
        <v>5</v>
      </c>
      <c r="G606">
        <f t="shared" si="19"/>
        <v>2017</v>
      </c>
    </row>
    <row r="607" spans="1:7" x14ac:dyDescent="0.25">
      <c r="A607" t="s">
        <v>5</v>
      </c>
      <c r="B607" t="s">
        <v>9</v>
      </c>
      <c r="C607">
        <v>100.03</v>
      </c>
      <c r="D607">
        <v>99.254890000000003</v>
      </c>
      <c r="E607" s="1">
        <v>42887</v>
      </c>
      <c r="F607">
        <f t="shared" si="18"/>
        <v>6</v>
      </c>
      <c r="G607">
        <f t="shared" si="19"/>
        <v>2017</v>
      </c>
    </row>
    <row r="608" spans="1:7" x14ac:dyDescent="0.25">
      <c r="A608" t="s">
        <v>5</v>
      </c>
      <c r="B608" t="s">
        <v>9</v>
      </c>
      <c r="C608">
        <v>100.04</v>
      </c>
      <c r="D608">
        <v>99.807860000000005</v>
      </c>
      <c r="E608" s="1">
        <v>42917</v>
      </c>
      <c r="F608">
        <f t="shared" si="18"/>
        <v>7</v>
      </c>
      <c r="G608">
        <f t="shared" si="19"/>
        <v>2017</v>
      </c>
    </row>
    <row r="609" spans="1:7" x14ac:dyDescent="0.25">
      <c r="A609" t="s">
        <v>5</v>
      </c>
      <c r="B609" t="s">
        <v>9</v>
      </c>
      <c r="C609">
        <v>98.85</v>
      </c>
      <c r="D609">
        <v>99.005369999999999</v>
      </c>
      <c r="E609" s="1">
        <v>42948</v>
      </c>
      <c r="F609">
        <f t="shared" si="18"/>
        <v>8</v>
      </c>
      <c r="G609">
        <f t="shared" si="19"/>
        <v>2017</v>
      </c>
    </row>
    <row r="610" spans="1:7" x14ac:dyDescent="0.25">
      <c r="A610" t="s">
        <v>5</v>
      </c>
      <c r="B610" t="s">
        <v>9</v>
      </c>
      <c r="C610">
        <v>98.2</v>
      </c>
      <c r="D610">
        <v>98.606629999999996</v>
      </c>
      <c r="E610" s="1">
        <v>42979</v>
      </c>
      <c r="F610">
        <f t="shared" si="18"/>
        <v>9</v>
      </c>
      <c r="G610">
        <f t="shared" si="19"/>
        <v>2017</v>
      </c>
    </row>
    <row r="611" spans="1:7" x14ac:dyDescent="0.25">
      <c r="A611" t="s">
        <v>5</v>
      </c>
      <c r="B611" t="s">
        <v>9</v>
      </c>
      <c r="C611">
        <v>97.32</v>
      </c>
      <c r="D611">
        <v>100.30302</v>
      </c>
      <c r="E611" s="1">
        <v>43009</v>
      </c>
      <c r="F611">
        <f t="shared" si="18"/>
        <v>10</v>
      </c>
      <c r="G611">
        <f t="shared" si="19"/>
        <v>2017</v>
      </c>
    </row>
    <row r="612" spans="1:7" x14ac:dyDescent="0.25">
      <c r="A612" t="s">
        <v>5</v>
      </c>
      <c r="B612" t="s">
        <v>9</v>
      </c>
      <c r="C612">
        <v>97.19</v>
      </c>
      <c r="D612">
        <v>101.58642</v>
      </c>
      <c r="E612" s="1">
        <v>43040</v>
      </c>
      <c r="F612">
        <f t="shared" si="18"/>
        <v>11</v>
      </c>
      <c r="G612">
        <f t="shared" si="19"/>
        <v>2017</v>
      </c>
    </row>
    <row r="613" spans="1:7" x14ac:dyDescent="0.25">
      <c r="A613" t="s">
        <v>5</v>
      </c>
      <c r="B613" t="s">
        <v>9</v>
      </c>
      <c r="C613">
        <v>100.12</v>
      </c>
      <c r="D613">
        <v>113.66382</v>
      </c>
      <c r="E613" s="1">
        <v>43070</v>
      </c>
      <c r="F613">
        <f t="shared" si="18"/>
        <v>12</v>
      </c>
      <c r="G613">
        <f t="shared" si="19"/>
        <v>2017</v>
      </c>
    </row>
    <row r="614" spans="1:7" x14ac:dyDescent="0.25">
      <c r="A614" t="s">
        <v>5</v>
      </c>
      <c r="B614" t="s">
        <v>9</v>
      </c>
      <c r="C614">
        <v>97.09</v>
      </c>
      <c r="D614">
        <v>89.473140000000001</v>
      </c>
      <c r="E614" s="1">
        <v>43101</v>
      </c>
      <c r="F614">
        <f t="shared" si="18"/>
        <v>1</v>
      </c>
      <c r="G614">
        <f t="shared" si="19"/>
        <v>2018</v>
      </c>
    </row>
    <row r="615" spans="1:7" x14ac:dyDescent="0.25">
      <c r="A615" t="s">
        <v>5</v>
      </c>
      <c r="B615" t="s">
        <v>9</v>
      </c>
      <c r="C615">
        <v>97.69</v>
      </c>
      <c r="D615">
        <v>88.271450000000002</v>
      </c>
      <c r="E615" s="1">
        <v>43132</v>
      </c>
      <c r="F615">
        <f t="shared" si="18"/>
        <v>2</v>
      </c>
      <c r="G615">
        <f t="shared" si="19"/>
        <v>2018</v>
      </c>
    </row>
    <row r="616" spans="1:7" x14ac:dyDescent="0.25">
      <c r="A616" t="s">
        <v>5</v>
      </c>
      <c r="B616" t="s">
        <v>9</v>
      </c>
      <c r="C616">
        <v>96.81</v>
      </c>
      <c r="D616">
        <v>94.392120000000006</v>
      </c>
      <c r="E616" s="1">
        <v>43160</v>
      </c>
      <c r="F616">
        <f t="shared" si="18"/>
        <v>3</v>
      </c>
      <c r="G616">
        <f t="shared" si="19"/>
        <v>2018</v>
      </c>
    </row>
    <row r="617" spans="1:7" x14ac:dyDescent="0.25">
      <c r="A617" t="s">
        <v>5</v>
      </c>
      <c r="B617" t="s">
        <v>9</v>
      </c>
      <c r="C617">
        <v>97.89</v>
      </c>
      <c r="D617">
        <v>96.610020000000006</v>
      </c>
      <c r="E617" s="1">
        <v>43191</v>
      </c>
      <c r="F617">
        <f t="shared" si="18"/>
        <v>4</v>
      </c>
      <c r="G617">
        <f t="shared" si="19"/>
        <v>2018</v>
      </c>
    </row>
    <row r="618" spans="1:7" x14ac:dyDescent="0.25">
      <c r="A618" t="s">
        <v>5</v>
      </c>
      <c r="B618" t="s">
        <v>9</v>
      </c>
      <c r="C618">
        <v>96.15</v>
      </c>
      <c r="D618">
        <v>96.559610000000006</v>
      </c>
      <c r="E618" s="1">
        <v>43221</v>
      </c>
      <c r="F618">
        <f t="shared" si="18"/>
        <v>5</v>
      </c>
      <c r="G618">
        <f t="shared" si="19"/>
        <v>2018</v>
      </c>
    </row>
    <row r="619" spans="1:7" x14ac:dyDescent="0.25">
      <c r="A619" t="s">
        <v>5</v>
      </c>
      <c r="B619" t="s">
        <v>9</v>
      </c>
      <c r="C619">
        <v>96.94</v>
      </c>
      <c r="D619">
        <v>95.747839999999997</v>
      </c>
      <c r="E619" s="1">
        <v>43252</v>
      </c>
      <c r="F619">
        <f t="shared" si="18"/>
        <v>6</v>
      </c>
      <c r="G619">
        <f t="shared" si="19"/>
        <v>2018</v>
      </c>
    </row>
    <row r="620" spans="1:7" x14ac:dyDescent="0.25">
      <c r="A620" t="s">
        <v>5</v>
      </c>
      <c r="B620" t="s">
        <v>9</v>
      </c>
      <c r="C620">
        <v>96.74</v>
      </c>
      <c r="D620">
        <v>97.029079999999993</v>
      </c>
      <c r="E620" s="1">
        <v>43282</v>
      </c>
      <c r="F620">
        <f t="shared" si="18"/>
        <v>7</v>
      </c>
      <c r="G620">
        <f t="shared" si="19"/>
        <v>2018</v>
      </c>
    </row>
    <row r="621" spans="1:7" x14ac:dyDescent="0.25">
      <c r="A621" t="s">
        <v>5</v>
      </c>
      <c r="B621" t="s">
        <v>9</v>
      </c>
      <c r="C621">
        <v>99.07</v>
      </c>
      <c r="D621">
        <v>99.529380000000003</v>
      </c>
      <c r="E621" s="1">
        <v>43313</v>
      </c>
      <c r="F621">
        <f t="shared" si="18"/>
        <v>8</v>
      </c>
      <c r="G621">
        <f t="shared" si="19"/>
        <v>2018</v>
      </c>
    </row>
    <row r="622" spans="1:7" x14ac:dyDescent="0.25">
      <c r="A622" t="s">
        <v>5</v>
      </c>
      <c r="B622" t="s">
        <v>9</v>
      </c>
      <c r="C622">
        <v>97.2</v>
      </c>
      <c r="D622">
        <v>96.541669999999996</v>
      </c>
      <c r="E622" s="1">
        <v>43344</v>
      </c>
      <c r="F622">
        <f t="shared" si="18"/>
        <v>9</v>
      </c>
      <c r="G622">
        <f t="shared" si="19"/>
        <v>2018</v>
      </c>
    </row>
    <row r="623" spans="1:7" x14ac:dyDescent="0.25">
      <c r="A623" t="s">
        <v>5</v>
      </c>
      <c r="B623" t="s">
        <v>9</v>
      </c>
      <c r="C623">
        <v>96.55</v>
      </c>
      <c r="D623">
        <v>100.1279</v>
      </c>
      <c r="E623" s="1">
        <v>43374</v>
      </c>
      <c r="F623">
        <f t="shared" si="18"/>
        <v>10</v>
      </c>
      <c r="G623">
        <f t="shared" si="19"/>
        <v>2018</v>
      </c>
    </row>
    <row r="624" spans="1:7" x14ac:dyDescent="0.25">
      <c r="A624" t="s">
        <v>5</v>
      </c>
      <c r="B624" t="s">
        <v>9</v>
      </c>
      <c r="C624">
        <v>95.63</v>
      </c>
      <c r="D624">
        <v>100.5778</v>
      </c>
      <c r="E624" s="1">
        <v>43405</v>
      </c>
      <c r="F624">
        <f t="shared" si="18"/>
        <v>11</v>
      </c>
      <c r="G624">
        <f t="shared" si="19"/>
        <v>2018</v>
      </c>
    </row>
    <row r="625" spans="1:7" x14ac:dyDescent="0.25">
      <c r="A625" t="s">
        <v>5</v>
      </c>
      <c r="B625" t="s">
        <v>9</v>
      </c>
      <c r="C625">
        <v>96.11</v>
      </c>
      <c r="D625">
        <v>109.46733</v>
      </c>
      <c r="E625" s="1">
        <v>43435</v>
      </c>
      <c r="F625">
        <f t="shared" si="18"/>
        <v>12</v>
      </c>
      <c r="G625">
        <f t="shared" si="19"/>
        <v>2018</v>
      </c>
    </row>
    <row r="626" spans="1:7" x14ac:dyDescent="0.25">
      <c r="A626" t="s">
        <v>5</v>
      </c>
      <c r="B626" t="s">
        <v>9</v>
      </c>
      <c r="C626">
        <v>96.62</v>
      </c>
      <c r="D626">
        <v>88.915850000000006</v>
      </c>
      <c r="E626" s="1">
        <v>43466</v>
      </c>
      <c r="F626">
        <f t="shared" si="18"/>
        <v>1</v>
      </c>
      <c r="G626">
        <f t="shared" si="19"/>
        <v>2019</v>
      </c>
    </row>
    <row r="627" spans="1:7" x14ac:dyDescent="0.25">
      <c r="A627" t="s">
        <v>5</v>
      </c>
      <c r="B627" t="s">
        <v>9</v>
      </c>
      <c r="C627">
        <v>96.65</v>
      </c>
      <c r="D627">
        <v>89.575280000000006</v>
      </c>
      <c r="E627" s="1">
        <v>43497</v>
      </c>
      <c r="F627">
        <f t="shared" si="18"/>
        <v>2</v>
      </c>
      <c r="G627">
        <f t="shared" si="19"/>
        <v>2019</v>
      </c>
    </row>
    <row r="628" spans="1:7" x14ac:dyDescent="0.25">
      <c r="A628" t="s">
        <v>5</v>
      </c>
      <c r="B628" t="s">
        <v>9</v>
      </c>
      <c r="C628">
        <v>96.18</v>
      </c>
      <c r="D628">
        <v>91.833789999999993</v>
      </c>
      <c r="E628" s="1">
        <v>43525</v>
      </c>
      <c r="F628">
        <f t="shared" si="18"/>
        <v>3</v>
      </c>
      <c r="G628">
        <f t="shared" si="19"/>
        <v>2019</v>
      </c>
    </row>
    <row r="629" spans="1:7" x14ac:dyDescent="0.25">
      <c r="A629" t="s">
        <v>5</v>
      </c>
      <c r="B629" t="s">
        <v>9</v>
      </c>
      <c r="C629">
        <v>97.63</v>
      </c>
      <c r="D629">
        <v>95.887510000000006</v>
      </c>
      <c r="E629" s="1">
        <v>43556</v>
      </c>
      <c r="F629">
        <f t="shared" si="18"/>
        <v>4</v>
      </c>
      <c r="G629">
        <f t="shared" si="19"/>
        <v>2019</v>
      </c>
    </row>
    <row r="630" spans="1:7" x14ac:dyDescent="0.25">
      <c r="A630" t="s">
        <v>5</v>
      </c>
      <c r="B630" t="s">
        <v>9</v>
      </c>
      <c r="C630">
        <v>97.54</v>
      </c>
      <c r="D630">
        <v>98.104470000000006</v>
      </c>
      <c r="E630" s="1">
        <v>43586</v>
      </c>
      <c r="F630">
        <f t="shared" si="18"/>
        <v>5</v>
      </c>
      <c r="G630">
        <f t="shared" si="19"/>
        <v>2019</v>
      </c>
    </row>
    <row r="631" spans="1:7" x14ac:dyDescent="0.25">
      <c r="A631" t="s">
        <v>5</v>
      </c>
      <c r="B631" t="s">
        <v>9</v>
      </c>
      <c r="C631">
        <v>97.11</v>
      </c>
      <c r="D631">
        <v>94.823620000000005</v>
      </c>
      <c r="E631" s="1">
        <v>43617</v>
      </c>
      <c r="F631">
        <f t="shared" si="18"/>
        <v>6</v>
      </c>
      <c r="G631">
        <f t="shared" si="19"/>
        <v>2019</v>
      </c>
    </row>
    <row r="632" spans="1:7" x14ac:dyDescent="0.25">
      <c r="A632" t="s">
        <v>5</v>
      </c>
      <c r="B632" t="s">
        <v>9</v>
      </c>
      <c r="C632">
        <v>96.86</v>
      </c>
      <c r="D632">
        <v>97.924449999999993</v>
      </c>
      <c r="E632" s="1">
        <v>43647</v>
      </c>
      <c r="F632">
        <f t="shared" si="18"/>
        <v>7</v>
      </c>
      <c r="G632">
        <f t="shared" si="19"/>
        <v>2019</v>
      </c>
    </row>
    <row r="633" spans="1:7" x14ac:dyDescent="0.25">
      <c r="A633" t="s">
        <v>5</v>
      </c>
      <c r="B633" t="s">
        <v>9</v>
      </c>
      <c r="C633">
        <v>97.03</v>
      </c>
      <c r="D633">
        <v>97.065880000000007</v>
      </c>
      <c r="E633" s="1">
        <v>43678</v>
      </c>
      <c r="F633">
        <f t="shared" si="18"/>
        <v>8</v>
      </c>
      <c r="G633">
        <f t="shared" si="19"/>
        <v>2019</v>
      </c>
    </row>
    <row r="634" spans="1:7" x14ac:dyDescent="0.25">
      <c r="A634" t="s">
        <v>5</v>
      </c>
      <c r="B634" t="s">
        <v>9</v>
      </c>
      <c r="C634">
        <v>99.25</v>
      </c>
      <c r="D634">
        <v>99.649569999999997</v>
      </c>
      <c r="E634" s="1">
        <v>43709</v>
      </c>
      <c r="F634">
        <f t="shared" si="18"/>
        <v>9</v>
      </c>
      <c r="G634">
        <f t="shared" si="19"/>
        <v>2019</v>
      </c>
    </row>
    <row r="635" spans="1:7" x14ac:dyDescent="0.25">
      <c r="A635" t="s">
        <v>5</v>
      </c>
      <c r="B635" t="s">
        <v>9</v>
      </c>
      <c r="C635">
        <v>99.86</v>
      </c>
      <c r="D635">
        <v>102.77817</v>
      </c>
      <c r="E635" s="1">
        <v>43739</v>
      </c>
      <c r="F635">
        <f t="shared" si="18"/>
        <v>10</v>
      </c>
      <c r="G635">
        <f t="shared" si="19"/>
        <v>2019</v>
      </c>
    </row>
    <row r="636" spans="1:7" x14ac:dyDescent="0.25">
      <c r="A636" t="s">
        <v>5</v>
      </c>
      <c r="B636" t="s">
        <v>9</v>
      </c>
      <c r="C636">
        <v>99.36</v>
      </c>
      <c r="D636">
        <v>103.6752</v>
      </c>
      <c r="E636" s="1">
        <v>43770</v>
      </c>
      <c r="F636">
        <f t="shared" si="18"/>
        <v>11</v>
      </c>
      <c r="G636">
        <f t="shared" si="19"/>
        <v>2019</v>
      </c>
    </row>
    <row r="637" spans="1:7" x14ac:dyDescent="0.25">
      <c r="A637" t="s">
        <v>5</v>
      </c>
      <c r="B637" t="s">
        <v>9</v>
      </c>
      <c r="C637">
        <v>97.36</v>
      </c>
      <c r="D637">
        <v>111.25587</v>
      </c>
      <c r="E637" s="1">
        <v>43800</v>
      </c>
      <c r="F637">
        <f t="shared" si="18"/>
        <v>12</v>
      </c>
      <c r="G637">
        <f t="shared" si="19"/>
        <v>2019</v>
      </c>
    </row>
    <row r="638" spans="1:7" x14ac:dyDescent="0.25">
      <c r="A638" t="s">
        <v>5</v>
      </c>
      <c r="B638" t="s">
        <v>9</v>
      </c>
      <c r="C638">
        <v>96.11</v>
      </c>
      <c r="D638">
        <v>88.921850000000006</v>
      </c>
      <c r="E638" s="1">
        <v>43831</v>
      </c>
      <c r="F638">
        <f t="shared" si="18"/>
        <v>1</v>
      </c>
      <c r="G638">
        <f t="shared" si="19"/>
        <v>2020</v>
      </c>
    </row>
    <row r="639" spans="1:7" x14ac:dyDescent="0.25">
      <c r="A639" t="s">
        <v>5</v>
      </c>
      <c r="B639" t="s">
        <v>9</v>
      </c>
      <c r="C639">
        <v>96.55</v>
      </c>
      <c r="D639">
        <v>86.562269999999998</v>
      </c>
      <c r="E639" s="1">
        <v>43862</v>
      </c>
      <c r="F639">
        <f t="shared" si="18"/>
        <v>2</v>
      </c>
      <c r="G639">
        <f t="shared" si="19"/>
        <v>2020</v>
      </c>
    </row>
    <row r="640" spans="1:7" x14ac:dyDescent="0.25">
      <c r="A640" t="s">
        <v>5</v>
      </c>
      <c r="B640" t="s">
        <v>9</v>
      </c>
      <c r="C640">
        <v>90.02</v>
      </c>
      <c r="D640">
        <v>88.442239999999998</v>
      </c>
      <c r="E640" s="1">
        <v>43891</v>
      </c>
      <c r="F640">
        <f t="shared" si="18"/>
        <v>3</v>
      </c>
      <c r="G640">
        <f t="shared" si="19"/>
        <v>2020</v>
      </c>
    </row>
    <row r="641" spans="1:7" x14ac:dyDescent="0.25">
      <c r="A641" t="s">
        <v>5</v>
      </c>
      <c r="B641" t="s">
        <v>9</v>
      </c>
      <c r="C641">
        <v>81.22</v>
      </c>
      <c r="D641">
        <v>79.091059999999999</v>
      </c>
      <c r="E641" s="1">
        <v>43922</v>
      </c>
      <c r="F641">
        <f t="shared" si="18"/>
        <v>4</v>
      </c>
      <c r="G641">
        <f t="shared" si="19"/>
        <v>2020</v>
      </c>
    </row>
    <row r="642" spans="1:7" x14ac:dyDescent="0.25">
      <c r="A642" t="s">
        <v>5</v>
      </c>
      <c r="B642" t="s">
        <v>9</v>
      </c>
      <c r="C642">
        <v>78.48</v>
      </c>
      <c r="D642">
        <v>77.176450000000003</v>
      </c>
      <c r="E642" s="1">
        <v>43952</v>
      </c>
      <c r="F642">
        <f t="shared" ref="F642:F705" si="20">MONTH(E642)</f>
        <v>5</v>
      </c>
      <c r="G642">
        <f t="shared" ref="G642:G705" si="21">YEAR(E642)</f>
        <v>2020</v>
      </c>
    </row>
    <row r="643" spans="1:7" x14ac:dyDescent="0.25">
      <c r="A643" t="s">
        <v>5</v>
      </c>
      <c r="B643" t="s">
        <v>9</v>
      </c>
      <c r="C643">
        <v>79.83</v>
      </c>
      <c r="D643">
        <v>79.779499999999999</v>
      </c>
      <c r="E643" s="1">
        <v>43983</v>
      </c>
      <c r="F643">
        <f t="shared" si="20"/>
        <v>6</v>
      </c>
      <c r="G643">
        <f t="shared" si="21"/>
        <v>2020</v>
      </c>
    </row>
    <row r="644" spans="1:7" x14ac:dyDescent="0.25">
      <c r="A644" t="s">
        <v>5</v>
      </c>
      <c r="B644" t="s">
        <v>9</v>
      </c>
      <c r="C644">
        <v>82.64</v>
      </c>
      <c r="D644">
        <v>83.512129999999999</v>
      </c>
      <c r="E644" s="1">
        <v>44013</v>
      </c>
      <c r="F644">
        <f t="shared" si="20"/>
        <v>7</v>
      </c>
      <c r="G644">
        <f t="shared" si="21"/>
        <v>2020</v>
      </c>
    </row>
    <row r="645" spans="1:7" x14ac:dyDescent="0.25">
      <c r="A645" t="s">
        <v>5</v>
      </c>
      <c r="B645" t="s">
        <v>9</v>
      </c>
      <c r="C645">
        <v>84.38</v>
      </c>
      <c r="D645">
        <v>83.332070000000002</v>
      </c>
      <c r="E645" s="1">
        <v>44044</v>
      </c>
      <c r="F645">
        <f t="shared" si="20"/>
        <v>8</v>
      </c>
      <c r="G645">
        <f t="shared" si="21"/>
        <v>2020</v>
      </c>
    </row>
    <row r="646" spans="1:7" x14ac:dyDescent="0.25">
      <c r="A646" t="s">
        <v>5</v>
      </c>
      <c r="B646" t="s">
        <v>9</v>
      </c>
      <c r="C646">
        <v>85.14</v>
      </c>
      <c r="D646">
        <v>86.372349999999997</v>
      </c>
      <c r="E646" s="1">
        <v>44075</v>
      </c>
      <c r="F646">
        <f t="shared" si="20"/>
        <v>9</v>
      </c>
      <c r="G646">
        <f t="shared" si="21"/>
        <v>2020</v>
      </c>
    </row>
    <row r="647" spans="1:7" x14ac:dyDescent="0.25">
      <c r="A647" t="s">
        <v>5</v>
      </c>
      <c r="B647" t="s">
        <v>9</v>
      </c>
      <c r="C647">
        <v>86.77</v>
      </c>
      <c r="D647">
        <v>88.993309999999994</v>
      </c>
      <c r="E647" s="1">
        <v>44105</v>
      </c>
      <c r="F647">
        <f t="shared" si="20"/>
        <v>10</v>
      </c>
      <c r="G647">
        <f t="shared" si="21"/>
        <v>2020</v>
      </c>
    </row>
    <row r="648" spans="1:7" x14ac:dyDescent="0.25">
      <c r="A648" t="s">
        <v>5</v>
      </c>
      <c r="B648" t="s">
        <v>9</v>
      </c>
      <c r="C648">
        <v>89.02</v>
      </c>
      <c r="D648">
        <v>92.885829999999999</v>
      </c>
      <c r="E648" s="1">
        <v>44136</v>
      </c>
      <c r="F648">
        <f t="shared" si="20"/>
        <v>11</v>
      </c>
      <c r="G648">
        <f t="shared" si="21"/>
        <v>2020</v>
      </c>
    </row>
    <row r="649" spans="1:7" x14ac:dyDescent="0.25">
      <c r="A649" t="s">
        <v>5</v>
      </c>
      <c r="B649" t="s">
        <v>9</v>
      </c>
      <c r="C649">
        <v>88.11</v>
      </c>
      <c r="D649">
        <v>102.75664999999999</v>
      </c>
      <c r="E649" s="1">
        <v>44166</v>
      </c>
      <c r="F649">
        <f t="shared" si="20"/>
        <v>12</v>
      </c>
      <c r="G649">
        <f t="shared" si="21"/>
        <v>2020</v>
      </c>
    </row>
    <row r="650" spans="1:7" x14ac:dyDescent="0.25">
      <c r="A650" t="s">
        <v>5</v>
      </c>
      <c r="B650" t="s">
        <v>9</v>
      </c>
      <c r="C650">
        <v>90.58</v>
      </c>
      <c r="D650">
        <v>82.024799999999999</v>
      </c>
      <c r="E650" s="1">
        <v>44197</v>
      </c>
      <c r="F650">
        <f t="shared" si="20"/>
        <v>1</v>
      </c>
      <c r="G650">
        <f t="shared" si="21"/>
        <v>2021</v>
      </c>
    </row>
    <row r="651" spans="1:7" x14ac:dyDescent="0.25">
      <c r="A651" t="s">
        <v>5</v>
      </c>
      <c r="B651" t="s">
        <v>9</v>
      </c>
      <c r="C651">
        <v>93.44</v>
      </c>
      <c r="D651">
        <v>84.597859999999997</v>
      </c>
      <c r="E651" s="1">
        <v>44228</v>
      </c>
      <c r="F651">
        <f t="shared" si="20"/>
        <v>2</v>
      </c>
      <c r="G651">
        <f t="shared" si="21"/>
        <v>2021</v>
      </c>
    </row>
    <row r="652" spans="1:7" x14ac:dyDescent="0.25">
      <c r="A652" t="s">
        <v>5</v>
      </c>
      <c r="B652" t="s">
        <v>9</v>
      </c>
      <c r="C652">
        <v>89.51</v>
      </c>
      <c r="D652">
        <v>89.329660000000004</v>
      </c>
      <c r="E652" s="1">
        <v>44256</v>
      </c>
      <c r="F652">
        <f t="shared" si="20"/>
        <v>3</v>
      </c>
      <c r="G652">
        <f t="shared" si="21"/>
        <v>2021</v>
      </c>
    </row>
    <row r="653" spans="1:7" x14ac:dyDescent="0.25">
      <c r="A653" t="s">
        <v>5</v>
      </c>
      <c r="B653" t="s">
        <v>9</v>
      </c>
      <c r="C653">
        <v>90.66</v>
      </c>
      <c r="D653">
        <v>88.721800000000002</v>
      </c>
      <c r="E653" s="1">
        <v>44287</v>
      </c>
      <c r="F653">
        <f t="shared" si="20"/>
        <v>4</v>
      </c>
      <c r="G653">
        <f t="shared" si="21"/>
        <v>2021</v>
      </c>
    </row>
    <row r="654" spans="1:7" x14ac:dyDescent="0.25">
      <c r="A654" t="s">
        <v>5</v>
      </c>
      <c r="B654" t="s">
        <v>9</v>
      </c>
      <c r="C654">
        <v>91.53</v>
      </c>
      <c r="D654">
        <v>89.778210000000001</v>
      </c>
      <c r="E654" s="1">
        <v>44317</v>
      </c>
      <c r="F654">
        <f t="shared" si="20"/>
        <v>5</v>
      </c>
      <c r="G654">
        <f t="shared" si="21"/>
        <v>2021</v>
      </c>
    </row>
    <row r="655" spans="1:7" x14ac:dyDescent="0.25">
      <c r="A655" t="s">
        <v>5</v>
      </c>
      <c r="B655" t="s">
        <v>9</v>
      </c>
      <c r="C655">
        <v>93.22</v>
      </c>
      <c r="D655">
        <v>93.047160000000005</v>
      </c>
      <c r="E655" s="1">
        <v>44348</v>
      </c>
      <c r="F655">
        <f t="shared" si="20"/>
        <v>6</v>
      </c>
      <c r="G655">
        <f t="shared" si="21"/>
        <v>2021</v>
      </c>
    </row>
    <row r="656" spans="1:7" x14ac:dyDescent="0.25">
      <c r="A656" t="s">
        <v>5</v>
      </c>
      <c r="B656" t="s">
        <v>9</v>
      </c>
      <c r="C656">
        <v>95.42</v>
      </c>
      <c r="D656">
        <v>95.552940000000007</v>
      </c>
      <c r="E656" s="1">
        <v>44378</v>
      </c>
      <c r="F656">
        <f t="shared" si="20"/>
        <v>7</v>
      </c>
      <c r="G656">
        <f t="shared" si="21"/>
        <v>2021</v>
      </c>
    </row>
    <row r="657" spans="1:7" x14ac:dyDescent="0.25">
      <c r="A657" t="s">
        <v>5</v>
      </c>
      <c r="B657" t="s">
        <v>9</v>
      </c>
      <c r="C657">
        <v>94.36</v>
      </c>
      <c r="D657">
        <v>93.984380000000002</v>
      </c>
      <c r="E657" s="1">
        <v>44409</v>
      </c>
      <c r="F657">
        <f t="shared" si="20"/>
        <v>8</v>
      </c>
      <c r="G657">
        <f t="shared" si="21"/>
        <v>2021</v>
      </c>
    </row>
    <row r="658" spans="1:7" x14ac:dyDescent="0.25">
      <c r="A658" t="s">
        <v>5</v>
      </c>
      <c r="B658" t="s">
        <v>9</v>
      </c>
      <c r="C658">
        <v>93.74</v>
      </c>
      <c r="D658">
        <v>95.05198</v>
      </c>
      <c r="E658" s="1">
        <v>44440</v>
      </c>
      <c r="F658">
        <f t="shared" si="20"/>
        <v>9</v>
      </c>
      <c r="G658">
        <f t="shared" si="21"/>
        <v>2021</v>
      </c>
    </row>
    <row r="659" spans="1:7" x14ac:dyDescent="0.25">
      <c r="A659" t="s">
        <v>5</v>
      </c>
      <c r="B659" t="s">
        <v>9</v>
      </c>
      <c r="C659">
        <v>92.39</v>
      </c>
      <c r="D659">
        <v>93.174160000000001</v>
      </c>
      <c r="E659" s="1">
        <v>44470</v>
      </c>
      <c r="F659">
        <f t="shared" si="20"/>
        <v>10</v>
      </c>
      <c r="G659">
        <f t="shared" si="21"/>
        <v>2021</v>
      </c>
    </row>
    <row r="660" spans="1:7" x14ac:dyDescent="0.25">
      <c r="A660" t="s">
        <v>5</v>
      </c>
      <c r="B660" t="s">
        <v>9</v>
      </c>
      <c r="C660">
        <v>92.58</v>
      </c>
      <c r="D660">
        <v>97.631489999999999</v>
      </c>
      <c r="E660" s="1">
        <v>44501</v>
      </c>
      <c r="F660">
        <f t="shared" si="20"/>
        <v>11</v>
      </c>
      <c r="G660">
        <f t="shared" si="21"/>
        <v>2021</v>
      </c>
    </row>
    <row r="661" spans="1:7" x14ac:dyDescent="0.25">
      <c r="A661" t="s">
        <v>5</v>
      </c>
      <c r="B661" t="s">
        <v>9</v>
      </c>
      <c r="C661">
        <v>96.55</v>
      </c>
      <c r="D661">
        <v>111.46156999999999</v>
      </c>
      <c r="E661" s="1">
        <v>44531</v>
      </c>
      <c r="F661">
        <f t="shared" si="20"/>
        <v>12</v>
      </c>
      <c r="G661">
        <f t="shared" si="21"/>
        <v>2021</v>
      </c>
    </row>
    <row r="662" spans="1:7" x14ac:dyDescent="0.25">
      <c r="A662" t="s">
        <v>5</v>
      </c>
      <c r="B662" t="s">
        <v>9</v>
      </c>
      <c r="C662">
        <v>96.49</v>
      </c>
      <c r="D662">
        <v>88.169079999999994</v>
      </c>
      <c r="E662" s="1">
        <v>44562</v>
      </c>
      <c r="F662">
        <f t="shared" si="20"/>
        <v>1</v>
      </c>
      <c r="G662">
        <f t="shared" si="21"/>
        <v>2022</v>
      </c>
    </row>
    <row r="663" spans="1:7" x14ac:dyDescent="0.25">
      <c r="A663" t="s">
        <v>5</v>
      </c>
      <c r="B663" t="s">
        <v>9</v>
      </c>
      <c r="C663">
        <v>99.57</v>
      </c>
      <c r="D663">
        <v>90.715800000000002</v>
      </c>
      <c r="E663" s="1">
        <v>44593</v>
      </c>
      <c r="F663">
        <f t="shared" si="20"/>
        <v>2</v>
      </c>
      <c r="G663">
        <f t="shared" si="21"/>
        <v>2022</v>
      </c>
    </row>
    <row r="664" spans="1:7" x14ac:dyDescent="0.25">
      <c r="A664" t="s">
        <v>5</v>
      </c>
      <c r="B664" t="s">
        <v>9</v>
      </c>
      <c r="C664">
        <v>97.81</v>
      </c>
      <c r="D664">
        <v>98.004180000000005</v>
      </c>
      <c r="E664" s="1">
        <v>44621</v>
      </c>
      <c r="F664">
        <f t="shared" si="20"/>
        <v>3</v>
      </c>
      <c r="G664">
        <f t="shared" si="21"/>
        <v>2022</v>
      </c>
    </row>
    <row r="665" spans="1:7" x14ac:dyDescent="0.25">
      <c r="A665" t="s">
        <v>5</v>
      </c>
      <c r="B665" t="s">
        <v>9</v>
      </c>
      <c r="C665">
        <v>98.51</v>
      </c>
      <c r="D665">
        <v>95.672920000000005</v>
      </c>
      <c r="E665" s="1">
        <v>44652</v>
      </c>
      <c r="F665">
        <f t="shared" si="20"/>
        <v>4</v>
      </c>
      <c r="G665">
        <f t="shared" si="21"/>
        <v>2022</v>
      </c>
    </row>
    <row r="666" spans="1:7" x14ac:dyDescent="0.25">
      <c r="A666" t="s">
        <v>5</v>
      </c>
      <c r="B666" t="s">
        <v>9</v>
      </c>
      <c r="C666">
        <v>100.18</v>
      </c>
      <c r="D666">
        <v>98.460539999999995</v>
      </c>
      <c r="E666" s="1">
        <v>44682</v>
      </c>
      <c r="F666">
        <f t="shared" si="20"/>
        <v>5</v>
      </c>
      <c r="G666">
        <f t="shared" si="21"/>
        <v>2022</v>
      </c>
    </row>
    <row r="667" spans="1:7" x14ac:dyDescent="0.25">
      <c r="A667" t="s">
        <v>5</v>
      </c>
      <c r="B667" t="s">
        <v>9</v>
      </c>
      <c r="C667">
        <v>100.67</v>
      </c>
      <c r="D667">
        <v>100.77307</v>
      </c>
      <c r="E667" s="1">
        <v>44713</v>
      </c>
      <c r="F667">
        <f t="shared" si="20"/>
        <v>6</v>
      </c>
      <c r="G667">
        <f t="shared" si="21"/>
        <v>2022</v>
      </c>
    </row>
    <row r="668" spans="1:7" x14ac:dyDescent="0.25">
      <c r="A668" t="s">
        <v>5</v>
      </c>
      <c r="B668" t="s">
        <v>9</v>
      </c>
      <c r="C668">
        <v>100.66</v>
      </c>
      <c r="D668">
        <v>99.493099999999998</v>
      </c>
      <c r="E668" s="1">
        <v>44743</v>
      </c>
      <c r="F668">
        <f t="shared" si="20"/>
        <v>7</v>
      </c>
      <c r="G668">
        <f t="shared" si="21"/>
        <v>2022</v>
      </c>
    </row>
    <row r="669" spans="1:7" x14ac:dyDescent="0.25">
      <c r="A669" t="s">
        <v>5</v>
      </c>
      <c r="B669" t="s">
        <v>9</v>
      </c>
      <c r="C669">
        <v>100.51</v>
      </c>
      <c r="D669">
        <v>101.14089</v>
      </c>
      <c r="E669" s="1">
        <v>44774</v>
      </c>
      <c r="F669">
        <f t="shared" si="20"/>
        <v>8</v>
      </c>
      <c r="G669">
        <f t="shared" si="21"/>
        <v>2022</v>
      </c>
    </row>
    <row r="670" spans="1:7" x14ac:dyDescent="0.25">
      <c r="A670" t="s">
        <v>5</v>
      </c>
      <c r="B670" t="s">
        <v>9</v>
      </c>
      <c r="C670">
        <v>100.66</v>
      </c>
      <c r="D670">
        <v>102.38397999999999</v>
      </c>
      <c r="E670" s="1">
        <v>44805</v>
      </c>
      <c r="F670">
        <f t="shared" si="20"/>
        <v>9</v>
      </c>
      <c r="G670">
        <f t="shared" si="21"/>
        <v>2022</v>
      </c>
    </row>
    <row r="671" spans="1:7" x14ac:dyDescent="0.25">
      <c r="A671" t="s">
        <v>5</v>
      </c>
      <c r="B671" t="s">
        <v>9</v>
      </c>
      <c r="C671">
        <v>100.22</v>
      </c>
      <c r="D671">
        <v>100.87145</v>
      </c>
      <c r="E671" s="1">
        <v>44835</v>
      </c>
      <c r="F671">
        <f t="shared" si="20"/>
        <v>10</v>
      </c>
      <c r="G671">
        <f t="shared" si="21"/>
        <v>2022</v>
      </c>
    </row>
    <row r="672" spans="1:7" x14ac:dyDescent="0.25">
      <c r="A672" t="s">
        <v>5</v>
      </c>
      <c r="B672" t="s">
        <v>9</v>
      </c>
      <c r="C672">
        <v>99.81</v>
      </c>
      <c r="D672">
        <v>104.55056999999999</v>
      </c>
      <c r="E672" s="1">
        <v>44866</v>
      </c>
      <c r="F672">
        <f t="shared" si="20"/>
        <v>11</v>
      </c>
      <c r="G672">
        <f t="shared" si="21"/>
        <v>2022</v>
      </c>
    </row>
    <row r="673" spans="1:7" x14ac:dyDescent="0.25">
      <c r="A673" t="s">
        <v>5</v>
      </c>
      <c r="B673" t="s">
        <v>9</v>
      </c>
      <c r="C673">
        <v>105.21</v>
      </c>
      <c r="D673">
        <v>119.76442</v>
      </c>
      <c r="E673" s="1">
        <v>44896</v>
      </c>
      <c r="F673">
        <f t="shared" si="20"/>
        <v>12</v>
      </c>
      <c r="G673">
        <f t="shared" si="21"/>
        <v>2022</v>
      </c>
    </row>
    <row r="674" spans="1:7" x14ac:dyDescent="0.25">
      <c r="A674" t="s">
        <v>5</v>
      </c>
      <c r="B674" t="s">
        <v>9</v>
      </c>
      <c r="C674">
        <v>102.13</v>
      </c>
      <c r="D674">
        <v>94.490129999999994</v>
      </c>
      <c r="E674" s="1">
        <v>44927</v>
      </c>
      <c r="F674">
        <f t="shared" si="20"/>
        <v>1</v>
      </c>
      <c r="G674">
        <f t="shared" si="21"/>
        <v>2023</v>
      </c>
    </row>
    <row r="675" spans="1:7" x14ac:dyDescent="0.25">
      <c r="A675" t="s">
        <v>5</v>
      </c>
      <c r="B675" t="s">
        <v>9</v>
      </c>
      <c r="C675">
        <v>101.63</v>
      </c>
      <c r="D675">
        <v>92.744389999999996</v>
      </c>
      <c r="E675" s="1">
        <v>44958</v>
      </c>
      <c r="F675">
        <f t="shared" si="20"/>
        <v>2</v>
      </c>
      <c r="G675">
        <f t="shared" si="21"/>
        <v>2023</v>
      </c>
    </row>
    <row r="676" spans="1:7" x14ac:dyDescent="0.25">
      <c r="A676" t="s">
        <v>5</v>
      </c>
      <c r="B676" t="s">
        <v>9</v>
      </c>
      <c r="C676">
        <v>103.27</v>
      </c>
      <c r="D676">
        <v>104.24687</v>
      </c>
      <c r="E676" s="1">
        <v>44986</v>
      </c>
      <c r="F676">
        <f t="shared" si="20"/>
        <v>3</v>
      </c>
      <c r="G676">
        <f t="shared" si="21"/>
        <v>2023</v>
      </c>
    </row>
    <row r="677" spans="1:7" x14ac:dyDescent="0.25">
      <c r="A677" t="s">
        <v>5</v>
      </c>
      <c r="B677" t="s">
        <v>9</v>
      </c>
      <c r="C677">
        <v>104.57</v>
      </c>
      <c r="D677">
        <v>100.16611</v>
      </c>
      <c r="E677" s="1">
        <v>45017</v>
      </c>
      <c r="F677">
        <f t="shared" si="20"/>
        <v>4</v>
      </c>
      <c r="G677">
        <f t="shared" si="21"/>
        <v>2023</v>
      </c>
    </row>
    <row r="678" spans="1:7" x14ac:dyDescent="0.25">
      <c r="A678" t="s">
        <v>5</v>
      </c>
      <c r="B678" t="s">
        <v>9</v>
      </c>
      <c r="C678">
        <v>103.73</v>
      </c>
      <c r="D678">
        <v>102.4298</v>
      </c>
      <c r="E678" s="1">
        <v>45047</v>
      </c>
      <c r="F678">
        <f t="shared" si="20"/>
        <v>5</v>
      </c>
      <c r="G678">
        <f t="shared" si="21"/>
        <v>2023</v>
      </c>
    </row>
    <row r="679" spans="1:7" x14ac:dyDescent="0.25">
      <c r="A679" t="s">
        <v>5</v>
      </c>
      <c r="B679" t="s">
        <v>9</v>
      </c>
      <c r="C679">
        <v>104.27</v>
      </c>
      <c r="D679">
        <v>104.86484</v>
      </c>
      <c r="E679" s="1">
        <v>45078</v>
      </c>
      <c r="F679">
        <f t="shared" si="20"/>
        <v>6</v>
      </c>
      <c r="G679">
        <f t="shared" si="21"/>
        <v>2023</v>
      </c>
    </row>
    <row r="680" spans="1:7" x14ac:dyDescent="0.25">
      <c r="A680" t="s">
        <v>5</v>
      </c>
      <c r="B680" t="s">
        <v>9</v>
      </c>
      <c r="C680">
        <v>104.42</v>
      </c>
      <c r="D680">
        <v>103.09705</v>
      </c>
      <c r="E680" s="1">
        <v>45108</v>
      </c>
      <c r="F680">
        <f t="shared" si="20"/>
        <v>7</v>
      </c>
      <c r="G680">
        <f t="shared" si="21"/>
        <v>2023</v>
      </c>
    </row>
    <row r="681" spans="1:7" x14ac:dyDescent="0.25">
      <c r="A681" t="s">
        <v>5</v>
      </c>
      <c r="B681" t="s">
        <v>9</v>
      </c>
      <c r="C681">
        <v>109.86</v>
      </c>
      <c r="D681">
        <v>110.32728</v>
      </c>
      <c r="E681" s="1">
        <v>45139</v>
      </c>
      <c r="F681">
        <f t="shared" si="20"/>
        <v>8</v>
      </c>
      <c r="G681">
        <f t="shared" si="21"/>
        <v>2023</v>
      </c>
    </row>
    <row r="682" spans="1:7" x14ac:dyDescent="0.25">
      <c r="A682" t="s">
        <v>5</v>
      </c>
      <c r="B682" t="s">
        <v>9</v>
      </c>
      <c r="C682">
        <v>107.36</v>
      </c>
      <c r="D682">
        <v>108.5403</v>
      </c>
      <c r="E682" s="1">
        <v>45170</v>
      </c>
      <c r="F682">
        <f t="shared" si="20"/>
        <v>9</v>
      </c>
      <c r="G682">
        <f t="shared" si="21"/>
        <v>2023</v>
      </c>
    </row>
    <row r="683" spans="1:7" x14ac:dyDescent="0.25">
      <c r="A683" t="s">
        <v>5</v>
      </c>
      <c r="B683" t="s">
        <v>9</v>
      </c>
      <c r="C683">
        <v>109.13</v>
      </c>
      <c r="D683">
        <v>110.49596</v>
      </c>
      <c r="E683" s="1">
        <v>45200</v>
      </c>
      <c r="F683">
        <f t="shared" si="20"/>
        <v>10</v>
      </c>
      <c r="G683">
        <f t="shared" si="21"/>
        <v>2023</v>
      </c>
    </row>
    <row r="684" spans="1:7" x14ac:dyDescent="0.25">
      <c r="A684" t="s">
        <v>5</v>
      </c>
      <c r="B684" t="s">
        <v>9</v>
      </c>
      <c r="C684">
        <v>111.04</v>
      </c>
      <c r="D684">
        <v>115.82265</v>
      </c>
      <c r="E684" s="1">
        <v>45231</v>
      </c>
      <c r="F684">
        <f t="shared" si="20"/>
        <v>11</v>
      </c>
      <c r="G684">
        <f t="shared" si="21"/>
        <v>2023</v>
      </c>
    </row>
    <row r="685" spans="1:7" x14ac:dyDescent="0.25">
      <c r="A685" t="s">
        <v>5</v>
      </c>
      <c r="B685" t="s">
        <v>9</v>
      </c>
      <c r="C685">
        <v>110.15</v>
      </c>
      <c r="D685">
        <v>123.68034</v>
      </c>
      <c r="E685" s="1">
        <v>45261</v>
      </c>
      <c r="F685">
        <f t="shared" si="20"/>
        <v>12</v>
      </c>
      <c r="G685">
        <f t="shared" si="21"/>
        <v>2023</v>
      </c>
    </row>
    <row r="686" spans="1:7" x14ac:dyDescent="0.25">
      <c r="A686" t="s">
        <v>5</v>
      </c>
      <c r="B686" t="s">
        <v>9</v>
      </c>
      <c r="C686">
        <v>112.09</v>
      </c>
      <c r="D686">
        <v>105.36678000000001</v>
      </c>
      <c r="E686" s="1">
        <v>45292</v>
      </c>
      <c r="F686">
        <f t="shared" si="20"/>
        <v>1</v>
      </c>
      <c r="G686">
        <f t="shared" si="21"/>
        <v>2024</v>
      </c>
    </row>
    <row r="687" spans="1:7" x14ac:dyDescent="0.25">
      <c r="A687" t="s">
        <v>5</v>
      </c>
      <c r="B687" t="s">
        <v>9</v>
      </c>
      <c r="C687">
        <v>111.23</v>
      </c>
      <c r="D687">
        <v>101.91647</v>
      </c>
      <c r="E687" s="1">
        <v>45323</v>
      </c>
      <c r="F687">
        <f t="shared" si="20"/>
        <v>2</v>
      </c>
      <c r="G687">
        <f t="shared" si="21"/>
        <v>2024</v>
      </c>
    </row>
    <row r="688" spans="1:7" x14ac:dyDescent="0.25">
      <c r="A688" t="s">
        <v>5</v>
      </c>
      <c r="B688" t="s">
        <v>9</v>
      </c>
      <c r="C688">
        <v>113.16</v>
      </c>
      <c r="D688">
        <v>111.41083999999999</v>
      </c>
      <c r="E688" s="1">
        <v>45352</v>
      </c>
      <c r="F688">
        <f t="shared" si="20"/>
        <v>3</v>
      </c>
      <c r="G688">
        <f t="shared" si="21"/>
        <v>2024</v>
      </c>
    </row>
    <row r="689" spans="1:7" x14ac:dyDescent="0.25">
      <c r="A689" t="s">
        <v>5</v>
      </c>
      <c r="B689" t="s">
        <v>9</v>
      </c>
      <c r="C689">
        <v>111.31</v>
      </c>
      <c r="D689">
        <v>110.2757</v>
      </c>
      <c r="E689" s="1">
        <v>45383</v>
      </c>
      <c r="F689">
        <f t="shared" si="20"/>
        <v>4</v>
      </c>
      <c r="G689">
        <f t="shared" si="21"/>
        <v>2024</v>
      </c>
    </row>
    <row r="690" spans="1:7" x14ac:dyDescent="0.25">
      <c r="A690" t="s">
        <v>5</v>
      </c>
      <c r="B690" t="s">
        <v>9</v>
      </c>
      <c r="C690">
        <v>110.96</v>
      </c>
      <c r="D690">
        <v>108.75252999999999</v>
      </c>
      <c r="E690" s="1">
        <v>45413</v>
      </c>
      <c r="F690">
        <f t="shared" si="20"/>
        <v>5</v>
      </c>
      <c r="G690">
        <f t="shared" si="21"/>
        <v>2024</v>
      </c>
    </row>
    <row r="691" spans="1:7" x14ac:dyDescent="0.25">
      <c r="A691" t="s">
        <v>5</v>
      </c>
      <c r="B691" t="s">
        <v>9</v>
      </c>
      <c r="C691">
        <v>113.02</v>
      </c>
      <c r="D691">
        <v>112.16127</v>
      </c>
      <c r="E691" s="1">
        <v>45444</v>
      </c>
      <c r="F691">
        <f t="shared" si="20"/>
        <v>6</v>
      </c>
      <c r="G691">
        <f t="shared" si="21"/>
        <v>2024</v>
      </c>
    </row>
    <row r="692" spans="1:7" x14ac:dyDescent="0.25">
      <c r="A692" t="s">
        <v>5</v>
      </c>
      <c r="B692" t="s">
        <v>9</v>
      </c>
      <c r="C692">
        <v>112.76</v>
      </c>
      <c r="D692">
        <v>112.86597</v>
      </c>
      <c r="E692" s="1">
        <v>45474</v>
      </c>
      <c r="F692">
        <f t="shared" si="20"/>
        <v>7</v>
      </c>
      <c r="G692">
        <f t="shared" si="21"/>
        <v>2024</v>
      </c>
    </row>
    <row r="693" spans="1:7" x14ac:dyDescent="0.25">
      <c r="A693" t="s">
        <v>5</v>
      </c>
      <c r="B693" t="s">
        <v>9</v>
      </c>
      <c r="C693">
        <v>112.37</v>
      </c>
      <c r="D693">
        <v>112.53843000000001</v>
      </c>
      <c r="E693" s="1">
        <v>45505</v>
      </c>
      <c r="F693">
        <f t="shared" si="20"/>
        <v>8</v>
      </c>
      <c r="G693">
        <f t="shared" si="21"/>
        <v>2024</v>
      </c>
    </row>
    <row r="694" spans="1:7" x14ac:dyDescent="0.25">
      <c r="A694" t="s">
        <v>5</v>
      </c>
      <c r="B694" t="s">
        <v>9</v>
      </c>
      <c r="C694">
        <v>114.24</v>
      </c>
      <c r="D694">
        <v>115.05534</v>
      </c>
      <c r="E694" s="1">
        <v>45536</v>
      </c>
      <c r="F694">
        <f t="shared" si="20"/>
        <v>9</v>
      </c>
      <c r="G694">
        <f t="shared" si="21"/>
        <v>2024</v>
      </c>
    </row>
    <row r="695" spans="1:7" x14ac:dyDescent="0.25">
      <c r="A695" t="s">
        <v>5</v>
      </c>
      <c r="B695" t="s">
        <v>9</v>
      </c>
      <c r="C695">
        <v>116.76</v>
      </c>
      <c r="D695">
        <v>119.15456</v>
      </c>
      <c r="E695" s="1">
        <v>45566</v>
      </c>
      <c r="F695">
        <f t="shared" si="20"/>
        <v>10</v>
      </c>
      <c r="G695">
        <f t="shared" si="21"/>
        <v>2024</v>
      </c>
    </row>
    <row r="696" spans="1:7" x14ac:dyDescent="0.25">
      <c r="A696" t="s">
        <v>5</v>
      </c>
      <c r="B696" t="s">
        <v>9</v>
      </c>
      <c r="C696">
        <v>113.76</v>
      </c>
      <c r="D696">
        <v>118.34658</v>
      </c>
      <c r="E696" s="1">
        <v>45597</v>
      </c>
      <c r="F696">
        <f t="shared" si="20"/>
        <v>11</v>
      </c>
      <c r="G696">
        <f t="shared" si="21"/>
        <v>2024</v>
      </c>
    </row>
    <row r="697" spans="1:7" x14ac:dyDescent="0.25">
      <c r="A697" t="s">
        <v>5</v>
      </c>
      <c r="B697" t="s">
        <v>9</v>
      </c>
      <c r="C697">
        <v>113.53</v>
      </c>
      <c r="D697">
        <v>127.72011999999999</v>
      </c>
      <c r="E697" s="1">
        <v>45627</v>
      </c>
      <c r="F697">
        <f t="shared" si="20"/>
        <v>12</v>
      </c>
      <c r="G697">
        <f t="shared" si="21"/>
        <v>2024</v>
      </c>
    </row>
    <row r="698" spans="1:7" x14ac:dyDescent="0.25">
      <c r="A698" t="s">
        <v>5</v>
      </c>
      <c r="B698" t="s">
        <v>9</v>
      </c>
      <c r="C698">
        <v>112.45</v>
      </c>
      <c r="D698">
        <v>105.65398999999999</v>
      </c>
      <c r="E698" s="1">
        <v>45658</v>
      </c>
      <c r="F698">
        <f t="shared" si="20"/>
        <v>1</v>
      </c>
      <c r="G698">
        <f t="shared" si="21"/>
        <v>2025</v>
      </c>
    </row>
    <row r="699" spans="1:7" x14ac:dyDescent="0.25">
      <c r="A699" t="s">
        <v>5</v>
      </c>
      <c r="B699" t="s">
        <v>9</v>
      </c>
      <c r="C699">
        <v>113.91</v>
      </c>
      <c r="D699">
        <v>106.38495</v>
      </c>
      <c r="E699" s="1">
        <v>45689</v>
      </c>
      <c r="F699">
        <f t="shared" si="20"/>
        <v>2</v>
      </c>
      <c r="G699">
        <f t="shared" si="21"/>
        <v>2025</v>
      </c>
    </row>
    <row r="700" spans="1:7" x14ac:dyDescent="0.25">
      <c r="A700" t="s">
        <v>5</v>
      </c>
      <c r="B700" t="s">
        <v>9</v>
      </c>
      <c r="C700">
        <v>114.63</v>
      </c>
      <c r="D700">
        <v>113.09702</v>
      </c>
      <c r="E700" s="1">
        <v>45717</v>
      </c>
      <c r="F700">
        <f t="shared" si="20"/>
        <v>3</v>
      </c>
      <c r="G700">
        <f t="shared" si="21"/>
        <v>2025</v>
      </c>
    </row>
    <row r="701" spans="1:7" x14ac:dyDescent="0.25">
      <c r="A701" t="s">
        <v>5</v>
      </c>
      <c r="B701" t="s">
        <v>9</v>
      </c>
      <c r="C701">
        <v>114.67</v>
      </c>
      <c r="D701">
        <v>111.7037</v>
      </c>
      <c r="E701" s="1">
        <v>45748</v>
      </c>
      <c r="F701">
        <f t="shared" si="20"/>
        <v>4</v>
      </c>
      <c r="G701">
        <f t="shared" si="21"/>
        <v>2025</v>
      </c>
    </row>
    <row r="702" spans="1:7" x14ac:dyDescent="0.25">
      <c r="A702" t="s">
        <v>5</v>
      </c>
      <c r="B702" t="s">
        <v>9</v>
      </c>
      <c r="C702">
        <v>115.51</v>
      </c>
      <c r="D702">
        <v>113.10706999999999</v>
      </c>
      <c r="E702" s="1">
        <v>45778</v>
      </c>
      <c r="F702">
        <f t="shared" si="20"/>
        <v>5</v>
      </c>
      <c r="G702">
        <f t="shared" si="21"/>
        <v>2025</v>
      </c>
    </row>
    <row r="703" spans="1:7" x14ac:dyDescent="0.25">
      <c r="A703" t="s">
        <v>5</v>
      </c>
      <c r="B703" t="s">
        <v>9</v>
      </c>
      <c r="C703">
        <v>115.79</v>
      </c>
      <c r="D703">
        <v>115.18595000000001</v>
      </c>
      <c r="E703" s="1">
        <v>45809</v>
      </c>
      <c r="F703">
        <f t="shared" si="20"/>
        <v>6</v>
      </c>
      <c r="G703">
        <f t="shared" si="21"/>
        <v>2025</v>
      </c>
    </row>
    <row r="704" spans="1:7" x14ac:dyDescent="0.25">
      <c r="A704" t="s">
        <v>5</v>
      </c>
      <c r="B704" t="s">
        <v>9</v>
      </c>
      <c r="C704">
        <v>116.44</v>
      </c>
      <c r="D704">
        <v>116.28352</v>
      </c>
      <c r="E704" s="1">
        <v>45839</v>
      </c>
      <c r="F704">
        <f t="shared" si="20"/>
        <v>7</v>
      </c>
      <c r="G704">
        <f t="shared" si="21"/>
        <v>2025</v>
      </c>
    </row>
    <row r="705" spans="1:7" x14ac:dyDescent="0.25">
      <c r="A705" t="s">
        <v>5</v>
      </c>
      <c r="B705" t="s">
        <v>9</v>
      </c>
      <c r="C705">
        <v>116.8</v>
      </c>
      <c r="D705">
        <v>115.78234999999999</v>
      </c>
      <c r="E705" s="1">
        <v>45870</v>
      </c>
      <c r="F705">
        <f t="shared" si="20"/>
        <v>8</v>
      </c>
      <c r="G705">
        <f t="shared" si="21"/>
        <v>2025</v>
      </c>
    </row>
    <row r="706" spans="1:7" x14ac:dyDescent="0.25">
      <c r="A706" t="s">
        <v>5</v>
      </c>
      <c r="B706" t="s">
        <v>10</v>
      </c>
      <c r="C706">
        <v>82.9</v>
      </c>
      <c r="D706">
        <v>76.495739999999998</v>
      </c>
      <c r="E706" s="1">
        <v>40544</v>
      </c>
      <c r="F706">
        <f t="shared" ref="F706:F769" si="22">MONTH(E706)</f>
        <v>1</v>
      </c>
      <c r="G706">
        <f t="shared" ref="G706:G769" si="23">YEAR(E706)</f>
        <v>2011</v>
      </c>
    </row>
    <row r="707" spans="1:7" x14ac:dyDescent="0.25">
      <c r="A707" t="s">
        <v>5</v>
      </c>
      <c r="B707" t="s">
        <v>10</v>
      </c>
      <c r="C707">
        <v>82.96</v>
      </c>
      <c r="D707">
        <v>76.765309999999999</v>
      </c>
      <c r="E707" s="1">
        <v>40575</v>
      </c>
      <c r="F707">
        <f t="shared" si="22"/>
        <v>2</v>
      </c>
      <c r="G707">
        <f t="shared" si="23"/>
        <v>2011</v>
      </c>
    </row>
    <row r="708" spans="1:7" x14ac:dyDescent="0.25">
      <c r="A708" t="s">
        <v>5</v>
      </c>
      <c r="B708" t="s">
        <v>10</v>
      </c>
      <c r="C708">
        <v>81.97</v>
      </c>
      <c r="D708">
        <v>79.700069999999997</v>
      </c>
      <c r="E708" s="1">
        <v>40603</v>
      </c>
      <c r="F708">
        <f t="shared" si="22"/>
        <v>3</v>
      </c>
      <c r="G708">
        <f t="shared" si="23"/>
        <v>2011</v>
      </c>
    </row>
    <row r="709" spans="1:7" x14ac:dyDescent="0.25">
      <c r="A709" t="s">
        <v>5</v>
      </c>
      <c r="B709" t="s">
        <v>10</v>
      </c>
      <c r="C709">
        <v>81.22</v>
      </c>
      <c r="D709">
        <v>79.382210000000001</v>
      </c>
      <c r="E709" s="1">
        <v>40634</v>
      </c>
      <c r="F709">
        <f t="shared" si="22"/>
        <v>4</v>
      </c>
      <c r="G709">
        <f t="shared" si="23"/>
        <v>2011</v>
      </c>
    </row>
    <row r="710" spans="1:7" x14ac:dyDescent="0.25">
      <c r="A710" t="s">
        <v>5</v>
      </c>
      <c r="B710" t="s">
        <v>10</v>
      </c>
      <c r="C710">
        <v>83.32</v>
      </c>
      <c r="D710">
        <v>84.538809999999998</v>
      </c>
      <c r="E710" s="1">
        <v>40664</v>
      </c>
      <c r="F710">
        <f t="shared" si="22"/>
        <v>5</v>
      </c>
      <c r="G710">
        <f t="shared" si="23"/>
        <v>2011</v>
      </c>
    </row>
    <row r="711" spans="1:7" x14ac:dyDescent="0.25">
      <c r="A711" t="s">
        <v>5</v>
      </c>
      <c r="B711" t="s">
        <v>10</v>
      </c>
      <c r="C711">
        <v>82.54</v>
      </c>
      <c r="D711">
        <v>81.986940000000004</v>
      </c>
      <c r="E711" s="1">
        <v>40695</v>
      </c>
      <c r="F711">
        <f t="shared" si="22"/>
        <v>6</v>
      </c>
      <c r="G711">
        <f t="shared" si="23"/>
        <v>2011</v>
      </c>
    </row>
    <row r="712" spans="1:7" x14ac:dyDescent="0.25">
      <c r="A712" t="s">
        <v>5</v>
      </c>
      <c r="B712" t="s">
        <v>10</v>
      </c>
      <c r="C712">
        <v>83.32</v>
      </c>
      <c r="D712">
        <v>85.282560000000004</v>
      </c>
      <c r="E712" s="1">
        <v>40725</v>
      </c>
      <c r="F712">
        <f t="shared" si="22"/>
        <v>7</v>
      </c>
      <c r="G712">
        <f t="shared" si="23"/>
        <v>2011</v>
      </c>
    </row>
    <row r="713" spans="1:7" x14ac:dyDescent="0.25">
      <c r="A713" t="s">
        <v>5</v>
      </c>
      <c r="B713" t="s">
        <v>10</v>
      </c>
      <c r="C713">
        <v>82.51</v>
      </c>
      <c r="D713">
        <v>87.907139999999998</v>
      </c>
      <c r="E713" s="1">
        <v>40756</v>
      </c>
      <c r="F713">
        <f t="shared" si="22"/>
        <v>8</v>
      </c>
      <c r="G713">
        <f t="shared" si="23"/>
        <v>2011</v>
      </c>
    </row>
    <row r="714" spans="1:7" x14ac:dyDescent="0.25">
      <c r="A714" t="s">
        <v>5</v>
      </c>
      <c r="B714" t="s">
        <v>10</v>
      </c>
      <c r="C714">
        <v>81.52</v>
      </c>
      <c r="D714">
        <v>83.751540000000006</v>
      </c>
      <c r="E714" s="1">
        <v>40787</v>
      </c>
      <c r="F714">
        <f t="shared" si="22"/>
        <v>9</v>
      </c>
      <c r="G714">
        <f t="shared" si="23"/>
        <v>2011</v>
      </c>
    </row>
    <row r="715" spans="1:7" x14ac:dyDescent="0.25">
      <c r="A715" t="s">
        <v>5</v>
      </c>
      <c r="B715" t="s">
        <v>10</v>
      </c>
      <c r="C715">
        <v>81.2</v>
      </c>
      <c r="D715">
        <v>84.021069999999995</v>
      </c>
      <c r="E715" s="1">
        <v>40817</v>
      </c>
      <c r="F715">
        <f t="shared" si="22"/>
        <v>10</v>
      </c>
      <c r="G715">
        <f t="shared" si="23"/>
        <v>2011</v>
      </c>
    </row>
    <row r="716" spans="1:7" x14ac:dyDescent="0.25">
      <c r="A716" t="s">
        <v>5</v>
      </c>
      <c r="B716" t="s">
        <v>10</v>
      </c>
      <c r="C716">
        <v>82.09</v>
      </c>
      <c r="D716">
        <v>82.993769999999998</v>
      </c>
      <c r="E716" s="1">
        <v>40848</v>
      </c>
      <c r="F716">
        <f t="shared" si="22"/>
        <v>11</v>
      </c>
      <c r="G716">
        <f t="shared" si="23"/>
        <v>2011</v>
      </c>
    </row>
    <row r="717" spans="1:7" x14ac:dyDescent="0.25">
      <c r="A717" t="s">
        <v>5</v>
      </c>
      <c r="B717" t="s">
        <v>10</v>
      </c>
      <c r="C717">
        <v>85.89</v>
      </c>
      <c r="D717">
        <v>87.498919999999998</v>
      </c>
      <c r="E717" s="1">
        <v>40878</v>
      </c>
      <c r="F717">
        <f t="shared" si="22"/>
        <v>12</v>
      </c>
      <c r="G717">
        <f t="shared" si="23"/>
        <v>2011</v>
      </c>
    </row>
    <row r="718" spans="1:7" x14ac:dyDescent="0.25">
      <c r="A718" t="s">
        <v>5</v>
      </c>
      <c r="B718" t="s">
        <v>10</v>
      </c>
      <c r="C718">
        <v>82.73</v>
      </c>
      <c r="D718">
        <v>76.904570000000007</v>
      </c>
      <c r="E718" s="1">
        <v>40909</v>
      </c>
      <c r="F718">
        <f t="shared" si="22"/>
        <v>1</v>
      </c>
      <c r="G718">
        <f t="shared" si="23"/>
        <v>2012</v>
      </c>
    </row>
    <row r="719" spans="1:7" x14ac:dyDescent="0.25">
      <c r="A719" t="s">
        <v>5</v>
      </c>
      <c r="B719" t="s">
        <v>10</v>
      </c>
      <c r="C719">
        <v>83.25</v>
      </c>
      <c r="D719">
        <v>75.875969999999995</v>
      </c>
      <c r="E719" s="1">
        <v>40940</v>
      </c>
      <c r="F719">
        <f t="shared" si="22"/>
        <v>2</v>
      </c>
      <c r="G719">
        <f t="shared" si="23"/>
        <v>2012</v>
      </c>
    </row>
    <row r="720" spans="1:7" x14ac:dyDescent="0.25">
      <c r="A720" t="s">
        <v>5</v>
      </c>
      <c r="B720" t="s">
        <v>10</v>
      </c>
      <c r="C720">
        <v>83.87</v>
      </c>
      <c r="D720">
        <v>85.484120000000004</v>
      </c>
      <c r="E720" s="1">
        <v>40969</v>
      </c>
      <c r="F720">
        <f t="shared" si="22"/>
        <v>3</v>
      </c>
      <c r="G720">
        <f t="shared" si="23"/>
        <v>2012</v>
      </c>
    </row>
    <row r="721" spans="1:7" x14ac:dyDescent="0.25">
      <c r="A721" t="s">
        <v>5</v>
      </c>
      <c r="B721" t="s">
        <v>10</v>
      </c>
      <c r="C721">
        <v>85.04</v>
      </c>
      <c r="D721">
        <v>82.074650000000005</v>
      </c>
      <c r="E721" s="1">
        <v>41000</v>
      </c>
      <c r="F721">
        <f t="shared" si="22"/>
        <v>4</v>
      </c>
      <c r="G721">
        <f t="shared" si="23"/>
        <v>2012</v>
      </c>
    </row>
    <row r="722" spans="1:7" x14ac:dyDescent="0.25">
      <c r="A722" t="s">
        <v>5</v>
      </c>
      <c r="B722" t="s">
        <v>10</v>
      </c>
      <c r="C722">
        <v>84.66</v>
      </c>
      <c r="D722">
        <v>87.368219999999994</v>
      </c>
      <c r="E722" s="1">
        <v>41030</v>
      </c>
      <c r="F722">
        <f t="shared" si="22"/>
        <v>5</v>
      </c>
      <c r="G722">
        <f t="shared" si="23"/>
        <v>2012</v>
      </c>
    </row>
    <row r="723" spans="1:7" x14ac:dyDescent="0.25">
      <c r="A723" t="s">
        <v>5</v>
      </c>
      <c r="B723" t="s">
        <v>10</v>
      </c>
      <c r="C723">
        <v>85.96</v>
      </c>
      <c r="D723">
        <v>84.961740000000006</v>
      </c>
      <c r="E723" s="1">
        <v>41061</v>
      </c>
      <c r="F723">
        <f t="shared" si="22"/>
        <v>6</v>
      </c>
      <c r="G723">
        <f t="shared" si="23"/>
        <v>2012</v>
      </c>
    </row>
    <row r="724" spans="1:7" x14ac:dyDescent="0.25">
      <c r="A724" t="s">
        <v>5</v>
      </c>
      <c r="B724" t="s">
        <v>10</v>
      </c>
      <c r="C724">
        <v>85.15</v>
      </c>
      <c r="D724">
        <v>87.509479999999996</v>
      </c>
      <c r="E724" s="1">
        <v>41091</v>
      </c>
      <c r="F724">
        <f t="shared" si="22"/>
        <v>7</v>
      </c>
      <c r="G724">
        <f t="shared" si="23"/>
        <v>2012</v>
      </c>
    </row>
    <row r="725" spans="1:7" x14ac:dyDescent="0.25">
      <c r="A725" t="s">
        <v>5</v>
      </c>
      <c r="B725" t="s">
        <v>10</v>
      </c>
      <c r="C725">
        <v>88.09</v>
      </c>
      <c r="D725">
        <v>93.848510000000005</v>
      </c>
      <c r="E725" s="1">
        <v>41122</v>
      </c>
      <c r="F725">
        <f t="shared" si="22"/>
        <v>8</v>
      </c>
      <c r="G725">
        <f t="shared" si="23"/>
        <v>2012</v>
      </c>
    </row>
    <row r="726" spans="1:7" x14ac:dyDescent="0.25">
      <c r="A726" t="s">
        <v>5</v>
      </c>
      <c r="B726" t="s">
        <v>10</v>
      </c>
      <c r="C726">
        <v>88.1</v>
      </c>
      <c r="D726">
        <v>88.740690000000001</v>
      </c>
      <c r="E726" s="1">
        <v>41153</v>
      </c>
      <c r="F726">
        <f t="shared" si="22"/>
        <v>9</v>
      </c>
      <c r="G726">
        <f t="shared" si="23"/>
        <v>2012</v>
      </c>
    </row>
    <row r="727" spans="1:7" x14ac:dyDescent="0.25">
      <c r="A727" t="s">
        <v>5</v>
      </c>
      <c r="B727" t="s">
        <v>10</v>
      </c>
      <c r="C727">
        <v>89.74</v>
      </c>
      <c r="D727">
        <v>95.002489999999995</v>
      </c>
      <c r="E727" s="1">
        <v>41183</v>
      </c>
      <c r="F727">
        <f t="shared" si="22"/>
        <v>10</v>
      </c>
      <c r="G727">
        <f t="shared" si="23"/>
        <v>2012</v>
      </c>
    </row>
    <row r="728" spans="1:7" x14ac:dyDescent="0.25">
      <c r="A728" t="s">
        <v>5</v>
      </c>
      <c r="B728" t="s">
        <v>10</v>
      </c>
      <c r="C728">
        <v>88.95</v>
      </c>
      <c r="D728">
        <v>89.687989999999999</v>
      </c>
      <c r="E728" s="1">
        <v>41214</v>
      </c>
      <c r="F728">
        <f t="shared" si="22"/>
        <v>11</v>
      </c>
      <c r="G728">
        <f t="shared" si="23"/>
        <v>2012</v>
      </c>
    </row>
    <row r="729" spans="1:7" x14ac:dyDescent="0.25">
      <c r="A729" t="s">
        <v>5</v>
      </c>
      <c r="B729" t="s">
        <v>10</v>
      </c>
      <c r="C729">
        <v>89.54</v>
      </c>
      <c r="D729">
        <v>89.770750000000007</v>
      </c>
      <c r="E729" s="1">
        <v>41244</v>
      </c>
      <c r="F729">
        <f t="shared" si="22"/>
        <v>12</v>
      </c>
      <c r="G729">
        <f t="shared" si="23"/>
        <v>2012</v>
      </c>
    </row>
    <row r="730" spans="1:7" x14ac:dyDescent="0.25">
      <c r="A730" t="s">
        <v>5</v>
      </c>
      <c r="B730" t="s">
        <v>10</v>
      </c>
      <c r="C730">
        <v>89.36</v>
      </c>
      <c r="D730">
        <v>84.45626</v>
      </c>
      <c r="E730" s="1">
        <v>41275</v>
      </c>
      <c r="F730">
        <f t="shared" si="22"/>
        <v>1</v>
      </c>
      <c r="G730">
        <f t="shared" si="23"/>
        <v>2013</v>
      </c>
    </row>
    <row r="731" spans="1:7" x14ac:dyDescent="0.25">
      <c r="A731" t="s">
        <v>5</v>
      </c>
      <c r="B731" t="s">
        <v>10</v>
      </c>
      <c r="C731">
        <v>90.02</v>
      </c>
      <c r="D731">
        <v>78.855180000000004</v>
      </c>
      <c r="E731" s="1">
        <v>41306</v>
      </c>
      <c r="F731">
        <f t="shared" si="22"/>
        <v>2</v>
      </c>
      <c r="G731">
        <f t="shared" si="23"/>
        <v>2013</v>
      </c>
    </row>
    <row r="732" spans="1:7" x14ac:dyDescent="0.25">
      <c r="A732" t="s">
        <v>5</v>
      </c>
      <c r="B732" t="s">
        <v>10</v>
      </c>
      <c r="C732">
        <v>90.81</v>
      </c>
      <c r="D732">
        <v>89.692250000000001</v>
      </c>
      <c r="E732" s="1">
        <v>41334</v>
      </c>
      <c r="F732">
        <f t="shared" si="22"/>
        <v>3</v>
      </c>
      <c r="G732">
        <f t="shared" si="23"/>
        <v>2013</v>
      </c>
    </row>
    <row r="733" spans="1:7" x14ac:dyDescent="0.25">
      <c r="A733" t="s">
        <v>5</v>
      </c>
      <c r="B733" t="s">
        <v>10</v>
      </c>
      <c r="C733">
        <v>92.28</v>
      </c>
      <c r="D733">
        <v>92.223759999999999</v>
      </c>
      <c r="E733" s="1">
        <v>41365</v>
      </c>
      <c r="F733">
        <f t="shared" si="22"/>
        <v>4</v>
      </c>
      <c r="G733">
        <f t="shared" si="23"/>
        <v>2013</v>
      </c>
    </row>
    <row r="734" spans="1:7" x14ac:dyDescent="0.25">
      <c r="A734" t="s">
        <v>5</v>
      </c>
      <c r="B734" t="s">
        <v>10</v>
      </c>
      <c r="C734">
        <v>91.63</v>
      </c>
      <c r="D734">
        <v>93.782120000000006</v>
      </c>
      <c r="E734" s="1">
        <v>41395</v>
      </c>
      <c r="F734">
        <f t="shared" si="22"/>
        <v>5</v>
      </c>
      <c r="G734">
        <f t="shared" si="23"/>
        <v>2013</v>
      </c>
    </row>
    <row r="735" spans="1:7" x14ac:dyDescent="0.25">
      <c r="A735" t="s">
        <v>5</v>
      </c>
      <c r="B735" t="s">
        <v>10</v>
      </c>
      <c r="C735">
        <v>91.62</v>
      </c>
      <c r="D735">
        <v>89.860690000000005</v>
      </c>
      <c r="E735" s="1">
        <v>41426</v>
      </c>
      <c r="F735">
        <f t="shared" si="22"/>
        <v>6</v>
      </c>
      <c r="G735">
        <f t="shared" si="23"/>
        <v>2013</v>
      </c>
    </row>
    <row r="736" spans="1:7" x14ac:dyDescent="0.25">
      <c r="A736" t="s">
        <v>5</v>
      </c>
      <c r="B736" t="s">
        <v>10</v>
      </c>
      <c r="C736">
        <v>92.09</v>
      </c>
      <c r="D736">
        <v>96.094009999999997</v>
      </c>
      <c r="E736" s="1">
        <v>41456</v>
      </c>
      <c r="F736">
        <f t="shared" si="22"/>
        <v>7</v>
      </c>
      <c r="G736">
        <f t="shared" si="23"/>
        <v>2013</v>
      </c>
    </row>
    <row r="737" spans="1:7" x14ac:dyDescent="0.25">
      <c r="A737" t="s">
        <v>5</v>
      </c>
      <c r="B737" t="s">
        <v>10</v>
      </c>
      <c r="C737">
        <v>91.94</v>
      </c>
      <c r="D737">
        <v>97.274209999999997</v>
      </c>
      <c r="E737" s="1">
        <v>41487</v>
      </c>
      <c r="F737">
        <f t="shared" si="22"/>
        <v>8</v>
      </c>
      <c r="G737">
        <f t="shared" si="23"/>
        <v>2013</v>
      </c>
    </row>
    <row r="738" spans="1:7" x14ac:dyDescent="0.25">
      <c r="A738" t="s">
        <v>5</v>
      </c>
      <c r="B738" t="s">
        <v>10</v>
      </c>
      <c r="C738">
        <v>93.22</v>
      </c>
      <c r="D738">
        <v>94.342380000000006</v>
      </c>
      <c r="E738" s="1">
        <v>41518</v>
      </c>
      <c r="F738">
        <f t="shared" si="22"/>
        <v>9</v>
      </c>
      <c r="G738">
        <f t="shared" si="23"/>
        <v>2013</v>
      </c>
    </row>
    <row r="739" spans="1:7" x14ac:dyDescent="0.25">
      <c r="A739" t="s">
        <v>5</v>
      </c>
      <c r="B739" t="s">
        <v>10</v>
      </c>
      <c r="C739">
        <v>93.62</v>
      </c>
      <c r="D739">
        <v>99.03407</v>
      </c>
      <c r="E739" s="1">
        <v>41548</v>
      </c>
      <c r="F739">
        <f t="shared" si="22"/>
        <v>10</v>
      </c>
      <c r="G739">
        <f t="shared" si="23"/>
        <v>2013</v>
      </c>
    </row>
    <row r="740" spans="1:7" x14ac:dyDescent="0.25">
      <c r="A740" t="s">
        <v>5</v>
      </c>
      <c r="B740" t="s">
        <v>10</v>
      </c>
      <c r="C740">
        <v>93.86</v>
      </c>
      <c r="D740">
        <v>94.245580000000004</v>
      </c>
      <c r="E740" s="1">
        <v>41579</v>
      </c>
      <c r="F740">
        <f t="shared" si="22"/>
        <v>11</v>
      </c>
      <c r="G740">
        <f t="shared" si="23"/>
        <v>2013</v>
      </c>
    </row>
    <row r="741" spans="1:7" x14ac:dyDescent="0.25">
      <c r="A741" t="s">
        <v>5</v>
      </c>
      <c r="B741" t="s">
        <v>10</v>
      </c>
      <c r="C741">
        <v>93.91</v>
      </c>
      <c r="D741">
        <v>94.832300000000004</v>
      </c>
      <c r="E741" s="1">
        <v>41609</v>
      </c>
      <c r="F741">
        <f t="shared" si="22"/>
        <v>12</v>
      </c>
      <c r="G741">
        <f t="shared" si="23"/>
        <v>2013</v>
      </c>
    </row>
    <row r="742" spans="1:7" x14ac:dyDescent="0.25">
      <c r="A742" t="s">
        <v>5</v>
      </c>
      <c r="B742" t="s">
        <v>10</v>
      </c>
      <c r="C742">
        <v>95.54</v>
      </c>
      <c r="D742">
        <v>90.165750000000003</v>
      </c>
      <c r="E742" s="1">
        <v>41640</v>
      </c>
      <c r="F742">
        <f t="shared" si="22"/>
        <v>1</v>
      </c>
      <c r="G742">
        <f t="shared" si="23"/>
        <v>2014</v>
      </c>
    </row>
    <row r="743" spans="1:7" x14ac:dyDescent="0.25">
      <c r="A743" t="s">
        <v>5</v>
      </c>
      <c r="B743" t="s">
        <v>10</v>
      </c>
      <c r="C743">
        <v>98.37</v>
      </c>
      <c r="D743">
        <v>89.80444</v>
      </c>
      <c r="E743" s="1">
        <v>41671</v>
      </c>
      <c r="F743">
        <f t="shared" si="22"/>
        <v>2</v>
      </c>
      <c r="G743">
        <f t="shared" si="23"/>
        <v>2014</v>
      </c>
    </row>
    <row r="744" spans="1:7" x14ac:dyDescent="0.25">
      <c r="A744" t="s">
        <v>5</v>
      </c>
      <c r="B744" t="s">
        <v>10</v>
      </c>
      <c r="C744">
        <v>95.05</v>
      </c>
      <c r="D744">
        <v>91.923410000000004</v>
      </c>
      <c r="E744" s="1">
        <v>41699</v>
      </c>
      <c r="F744">
        <f t="shared" si="22"/>
        <v>3</v>
      </c>
      <c r="G744">
        <f t="shared" si="23"/>
        <v>2014</v>
      </c>
    </row>
    <row r="745" spans="1:7" x14ac:dyDescent="0.25">
      <c r="A745" t="s">
        <v>5</v>
      </c>
      <c r="B745" t="s">
        <v>10</v>
      </c>
      <c r="C745">
        <v>95.41</v>
      </c>
      <c r="D745">
        <v>93.541120000000006</v>
      </c>
      <c r="E745" s="1">
        <v>41730</v>
      </c>
      <c r="F745">
        <f t="shared" si="22"/>
        <v>4</v>
      </c>
      <c r="G745">
        <f t="shared" si="23"/>
        <v>2014</v>
      </c>
    </row>
    <row r="746" spans="1:7" x14ac:dyDescent="0.25">
      <c r="A746" t="s">
        <v>5</v>
      </c>
      <c r="B746" t="s">
        <v>10</v>
      </c>
      <c r="C746">
        <v>94.5</v>
      </c>
      <c r="D746">
        <v>96.744879999999995</v>
      </c>
      <c r="E746" s="1">
        <v>41760</v>
      </c>
      <c r="F746">
        <f t="shared" si="22"/>
        <v>5</v>
      </c>
      <c r="G746">
        <f t="shared" si="23"/>
        <v>2014</v>
      </c>
    </row>
    <row r="747" spans="1:7" x14ac:dyDescent="0.25">
      <c r="A747" t="s">
        <v>5</v>
      </c>
      <c r="B747" t="s">
        <v>10</v>
      </c>
      <c r="C747">
        <v>91.8</v>
      </c>
      <c r="D747">
        <v>89.915980000000005</v>
      </c>
      <c r="E747" s="1">
        <v>41791</v>
      </c>
      <c r="F747">
        <f t="shared" si="22"/>
        <v>6</v>
      </c>
      <c r="G747">
        <f t="shared" si="23"/>
        <v>2014</v>
      </c>
    </row>
    <row r="748" spans="1:7" x14ac:dyDescent="0.25">
      <c r="A748" t="s">
        <v>5</v>
      </c>
      <c r="B748" t="s">
        <v>10</v>
      </c>
      <c r="C748">
        <v>95.86</v>
      </c>
      <c r="D748">
        <v>100.03606000000001</v>
      </c>
      <c r="E748" s="1">
        <v>41821</v>
      </c>
      <c r="F748">
        <f t="shared" si="22"/>
        <v>7</v>
      </c>
      <c r="G748">
        <f t="shared" si="23"/>
        <v>2014</v>
      </c>
    </row>
    <row r="749" spans="1:7" x14ac:dyDescent="0.25">
      <c r="A749" t="s">
        <v>5</v>
      </c>
      <c r="B749" t="s">
        <v>10</v>
      </c>
      <c r="C749">
        <v>94.02</v>
      </c>
      <c r="D749">
        <v>98.066180000000003</v>
      </c>
      <c r="E749" s="1">
        <v>41852</v>
      </c>
      <c r="F749">
        <f t="shared" si="22"/>
        <v>8</v>
      </c>
      <c r="G749">
        <f t="shared" si="23"/>
        <v>2014</v>
      </c>
    </row>
    <row r="750" spans="1:7" x14ac:dyDescent="0.25">
      <c r="A750" t="s">
        <v>5</v>
      </c>
      <c r="B750" t="s">
        <v>10</v>
      </c>
      <c r="C750">
        <v>94.82</v>
      </c>
      <c r="D750">
        <v>97.597909999999999</v>
      </c>
      <c r="E750" s="1">
        <v>41883</v>
      </c>
      <c r="F750">
        <f t="shared" si="22"/>
        <v>9</v>
      </c>
      <c r="G750">
        <f t="shared" si="23"/>
        <v>2014</v>
      </c>
    </row>
    <row r="751" spans="1:7" x14ac:dyDescent="0.25">
      <c r="A751" t="s">
        <v>5</v>
      </c>
      <c r="B751" t="s">
        <v>10</v>
      </c>
      <c r="C751">
        <v>94.19</v>
      </c>
      <c r="D751">
        <v>99.225030000000004</v>
      </c>
      <c r="E751" s="1">
        <v>41913</v>
      </c>
      <c r="F751">
        <f t="shared" si="22"/>
        <v>10</v>
      </c>
      <c r="G751">
        <f t="shared" si="23"/>
        <v>2014</v>
      </c>
    </row>
    <row r="752" spans="1:7" x14ac:dyDescent="0.25">
      <c r="A752" t="s">
        <v>5</v>
      </c>
      <c r="B752" t="s">
        <v>10</v>
      </c>
      <c r="C752">
        <v>96.86</v>
      </c>
      <c r="D752">
        <v>95.863249999999994</v>
      </c>
      <c r="E752" s="1">
        <v>41944</v>
      </c>
      <c r="F752">
        <f t="shared" si="22"/>
        <v>11</v>
      </c>
      <c r="G752">
        <f t="shared" si="23"/>
        <v>2014</v>
      </c>
    </row>
    <row r="753" spans="1:7" x14ac:dyDescent="0.25">
      <c r="A753" t="s">
        <v>5</v>
      </c>
      <c r="B753" t="s">
        <v>10</v>
      </c>
      <c r="C753">
        <v>93.2</v>
      </c>
      <c r="D753">
        <v>95.744810000000001</v>
      </c>
      <c r="E753" s="1">
        <v>41974</v>
      </c>
      <c r="F753">
        <f t="shared" si="22"/>
        <v>12</v>
      </c>
      <c r="G753">
        <f t="shared" si="23"/>
        <v>2014</v>
      </c>
    </row>
    <row r="754" spans="1:7" x14ac:dyDescent="0.25">
      <c r="A754" t="s">
        <v>5</v>
      </c>
      <c r="B754" t="s">
        <v>10</v>
      </c>
      <c r="C754">
        <v>89.64</v>
      </c>
      <c r="D754">
        <v>84.020399999999995</v>
      </c>
      <c r="E754" s="1">
        <v>42005</v>
      </c>
      <c r="F754">
        <f t="shared" si="22"/>
        <v>1</v>
      </c>
      <c r="G754">
        <f t="shared" si="23"/>
        <v>2015</v>
      </c>
    </row>
    <row r="755" spans="1:7" x14ac:dyDescent="0.25">
      <c r="A755" t="s">
        <v>5</v>
      </c>
      <c r="B755" t="s">
        <v>10</v>
      </c>
      <c r="C755">
        <v>90.49</v>
      </c>
      <c r="D755">
        <v>79.450559999999996</v>
      </c>
      <c r="E755" s="1">
        <v>42036</v>
      </c>
      <c r="F755">
        <f t="shared" si="22"/>
        <v>2</v>
      </c>
      <c r="G755">
        <f t="shared" si="23"/>
        <v>2015</v>
      </c>
    </row>
    <row r="756" spans="1:7" x14ac:dyDescent="0.25">
      <c r="A756" t="s">
        <v>5</v>
      </c>
      <c r="B756" t="s">
        <v>10</v>
      </c>
      <c r="C756">
        <v>92.37</v>
      </c>
      <c r="D756">
        <v>93.731110000000001</v>
      </c>
      <c r="E756" s="1">
        <v>42064</v>
      </c>
      <c r="F756">
        <f t="shared" si="22"/>
        <v>3</v>
      </c>
      <c r="G756">
        <f t="shared" si="23"/>
        <v>2015</v>
      </c>
    </row>
    <row r="757" spans="1:7" x14ac:dyDescent="0.25">
      <c r="A757" t="s">
        <v>5</v>
      </c>
      <c r="B757" t="s">
        <v>10</v>
      </c>
      <c r="C757">
        <v>89.9</v>
      </c>
      <c r="D757">
        <v>87.622709999999998</v>
      </c>
      <c r="E757" s="1">
        <v>42095</v>
      </c>
      <c r="F757">
        <f t="shared" si="22"/>
        <v>4</v>
      </c>
      <c r="G757">
        <f t="shared" si="23"/>
        <v>2015</v>
      </c>
    </row>
    <row r="758" spans="1:7" x14ac:dyDescent="0.25">
      <c r="A758" t="s">
        <v>5</v>
      </c>
      <c r="B758" t="s">
        <v>10</v>
      </c>
      <c r="C758">
        <v>90.1</v>
      </c>
      <c r="D758">
        <v>90.994380000000007</v>
      </c>
      <c r="E758" s="1">
        <v>42125</v>
      </c>
      <c r="F758">
        <f t="shared" si="22"/>
        <v>5</v>
      </c>
      <c r="G758">
        <f t="shared" si="23"/>
        <v>2015</v>
      </c>
    </row>
    <row r="759" spans="1:7" x14ac:dyDescent="0.25">
      <c r="A759" t="s">
        <v>5</v>
      </c>
      <c r="B759" t="s">
        <v>10</v>
      </c>
      <c r="C759">
        <v>86.81</v>
      </c>
      <c r="D759">
        <v>86.684179999999998</v>
      </c>
      <c r="E759" s="1">
        <v>42156</v>
      </c>
      <c r="F759">
        <f t="shared" si="22"/>
        <v>6</v>
      </c>
      <c r="G759">
        <f t="shared" si="23"/>
        <v>2015</v>
      </c>
    </row>
    <row r="760" spans="1:7" x14ac:dyDescent="0.25">
      <c r="A760" t="s">
        <v>5</v>
      </c>
      <c r="B760" t="s">
        <v>10</v>
      </c>
      <c r="C760">
        <v>87.82</v>
      </c>
      <c r="D760">
        <v>91.576610000000002</v>
      </c>
      <c r="E760" s="1">
        <v>42186</v>
      </c>
      <c r="F760">
        <f t="shared" si="22"/>
        <v>7</v>
      </c>
      <c r="G760">
        <f t="shared" si="23"/>
        <v>2015</v>
      </c>
    </row>
    <row r="761" spans="1:7" x14ac:dyDescent="0.25">
      <c r="A761" t="s">
        <v>5</v>
      </c>
      <c r="B761" t="s">
        <v>10</v>
      </c>
      <c r="C761">
        <v>90.15</v>
      </c>
      <c r="D761">
        <v>93.805610000000001</v>
      </c>
      <c r="E761" s="1">
        <v>42217</v>
      </c>
      <c r="F761">
        <f t="shared" si="22"/>
        <v>8</v>
      </c>
      <c r="G761">
        <f t="shared" si="23"/>
        <v>2015</v>
      </c>
    </row>
    <row r="762" spans="1:7" x14ac:dyDescent="0.25">
      <c r="A762" t="s">
        <v>5</v>
      </c>
      <c r="B762" t="s">
        <v>10</v>
      </c>
      <c r="C762">
        <v>88.48</v>
      </c>
      <c r="D762">
        <v>91.362989999999996</v>
      </c>
      <c r="E762" s="1">
        <v>42248</v>
      </c>
      <c r="F762">
        <f t="shared" si="22"/>
        <v>9</v>
      </c>
      <c r="G762">
        <f t="shared" si="23"/>
        <v>2015</v>
      </c>
    </row>
    <row r="763" spans="1:7" x14ac:dyDescent="0.25">
      <c r="A763" t="s">
        <v>5</v>
      </c>
      <c r="B763" t="s">
        <v>10</v>
      </c>
      <c r="C763">
        <v>88.91</v>
      </c>
      <c r="D763">
        <v>92.621619999999993</v>
      </c>
      <c r="E763" s="1">
        <v>42278</v>
      </c>
      <c r="F763">
        <f t="shared" si="22"/>
        <v>10</v>
      </c>
      <c r="G763">
        <f t="shared" si="23"/>
        <v>2015</v>
      </c>
    </row>
    <row r="764" spans="1:7" x14ac:dyDescent="0.25">
      <c r="A764" t="s">
        <v>5</v>
      </c>
      <c r="B764" t="s">
        <v>10</v>
      </c>
      <c r="C764">
        <v>88.29</v>
      </c>
      <c r="D764">
        <v>87.756450000000001</v>
      </c>
      <c r="E764" s="1">
        <v>42309</v>
      </c>
      <c r="F764">
        <f t="shared" si="22"/>
        <v>11</v>
      </c>
      <c r="G764">
        <f t="shared" si="23"/>
        <v>2015</v>
      </c>
    </row>
    <row r="765" spans="1:7" x14ac:dyDescent="0.25">
      <c r="A765" t="s">
        <v>5</v>
      </c>
      <c r="B765" t="s">
        <v>10</v>
      </c>
      <c r="C765">
        <v>86.49</v>
      </c>
      <c r="D765">
        <v>89.145300000000006</v>
      </c>
      <c r="E765" s="1">
        <v>42339</v>
      </c>
      <c r="F765">
        <f t="shared" si="22"/>
        <v>12</v>
      </c>
      <c r="G765">
        <f t="shared" si="23"/>
        <v>2015</v>
      </c>
    </row>
    <row r="766" spans="1:7" x14ac:dyDescent="0.25">
      <c r="A766" t="s">
        <v>5</v>
      </c>
      <c r="B766" t="s">
        <v>10</v>
      </c>
      <c r="C766">
        <v>85.54</v>
      </c>
      <c r="D766">
        <v>79.121780000000001</v>
      </c>
      <c r="E766" s="1">
        <v>42370</v>
      </c>
      <c r="F766">
        <f t="shared" si="22"/>
        <v>1</v>
      </c>
      <c r="G766">
        <f t="shared" si="23"/>
        <v>2016</v>
      </c>
    </row>
    <row r="767" spans="1:7" x14ac:dyDescent="0.25">
      <c r="A767" t="s">
        <v>5</v>
      </c>
      <c r="B767" t="s">
        <v>10</v>
      </c>
      <c r="C767">
        <v>85.33</v>
      </c>
      <c r="D767">
        <v>77.819770000000005</v>
      </c>
      <c r="E767" s="1">
        <v>42401</v>
      </c>
      <c r="F767">
        <f t="shared" si="22"/>
        <v>2</v>
      </c>
      <c r="G767">
        <f t="shared" si="23"/>
        <v>2016</v>
      </c>
    </row>
    <row r="768" spans="1:7" x14ac:dyDescent="0.25">
      <c r="A768" t="s">
        <v>5</v>
      </c>
      <c r="B768" t="s">
        <v>10</v>
      </c>
      <c r="C768">
        <v>86.1</v>
      </c>
      <c r="D768">
        <v>86.982349999999997</v>
      </c>
      <c r="E768" s="1">
        <v>42430</v>
      </c>
      <c r="F768">
        <f t="shared" si="22"/>
        <v>3</v>
      </c>
      <c r="G768">
        <f t="shared" si="23"/>
        <v>2016</v>
      </c>
    </row>
    <row r="769" spans="1:7" x14ac:dyDescent="0.25">
      <c r="A769" t="s">
        <v>5</v>
      </c>
      <c r="B769" t="s">
        <v>10</v>
      </c>
      <c r="C769">
        <v>82.47</v>
      </c>
      <c r="D769">
        <v>81.280180000000001</v>
      </c>
      <c r="E769" s="1">
        <v>42461</v>
      </c>
      <c r="F769">
        <f t="shared" si="22"/>
        <v>4</v>
      </c>
      <c r="G769">
        <f t="shared" si="23"/>
        <v>2016</v>
      </c>
    </row>
    <row r="770" spans="1:7" x14ac:dyDescent="0.25">
      <c r="A770" t="s">
        <v>5</v>
      </c>
      <c r="B770" t="s">
        <v>10</v>
      </c>
      <c r="C770">
        <v>83.17</v>
      </c>
      <c r="D770">
        <v>82.754990000000006</v>
      </c>
      <c r="E770" s="1">
        <v>42491</v>
      </c>
      <c r="F770">
        <f t="shared" ref="F770:F833" si="24">MONTH(E770)</f>
        <v>5</v>
      </c>
      <c r="G770">
        <f t="shared" ref="G770:G833" si="25">YEAR(E770)</f>
        <v>2016</v>
      </c>
    </row>
    <row r="771" spans="1:7" x14ac:dyDescent="0.25">
      <c r="A771" t="s">
        <v>5</v>
      </c>
      <c r="B771" t="s">
        <v>10</v>
      </c>
      <c r="C771">
        <v>81.760000000000005</v>
      </c>
      <c r="D771">
        <v>83.554730000000006</v>
      </c>
      <c r="E771" s="1">
        <v>42522</v>
      </c>
      <c r="F771">
        <f t="shared" si="24"/>
        <v>6</v>
      </c>
      <c r="G771">
        <f t="shared" si="25"/>
        <v>2016</v>
      </c>
    </row>
    <row r="772" spans="1:7" x14ac:dyDescent="0.25">
      <c r="A772" t="s">
        <v>5</v>
      </c>
      <c r="B772" t="s">
        <v>10</v>
      </c>
      <c r="C772">
        <v>81.81</v>
      </c>
      <c r="D772">
        <v>83.617410000000007</v>
      </c>
      <c r="E772" s="1">
        <v>42552</v>
      </c>
      <c r="F772">
        <f t="shared" si="24"/>
        <v>7</v>
      </c>
      <c r="G772">
        <f t="shared" si="25"/>
        <v>2016</v>
      </c>
    </row>
    <row r="773" spans="1:7" x14ac:dyDescent="0.25">
      <c r="A773" t="s">
        <v>5</v>
      </c>
      <c r="B773" t="s">
        <v>10</v>
      </c>
      <c r="C773">
        <v>80.13</v>
      </c>
      <c r="D773">
        <v>85.391469999999998</v>
      </c>
      <c r="E773" s="1">
        <v>42583</v>
      </c>
      <c r="F773">
        <f t="shared" si="24"/>
        <v>8</v>
      </c>
      <c r="G773">
        <f t="shared" si="25"/>
        <v>2016</v>
      </c>
    </row>
    <row r="774" spans="1:7" x14ac:dyDescent="0.25">
      <c r="A774" t="s">
        <v>5</v>
      </c>
      <c r="B774" t="s">
        <v>10</v>
      </c>
      <c r="C774">
        <v>80.78</v>
      </c>
      <c r="D774">
        <v>83.098560000000006</v>
      </c>
      <c r="E774" s="1">
        <v>42614</v>
      </c>
      <c r="F774">
        <f t="shared" si="24"/>
        <v>9</v>
      </c>
      <c r="G774">
        <f t="shared" si="25"/>
        <v>2016</v>
      </c>
    </row>
    <row r="775" spans="1:7" x14ac:dyDescent="0.25">
      <c r="A775" t="s">
        <v>5</v>
      </c>
      <c r="B775" t="s">
        <v>10</v>
      </c>
      <c r="C775">
        <v>78.64</v>
      </c>
      <c r="D775">
        <v>80.257220000000004</v>
      </c>
      <c r="E775" s="1">
        <v>42644</v>
      </c>
      <c r="F775">
        <f t="shared" si="24"/>
        <v>10</v>
      </c>
      <c r="G775">
        <f t="shared" si="25"/>
        <v>2016</v>
      </c>
    </row>
    <row r="776" spans="1:7" x14ac:dyDescent="0.25">
      <c r="A776" t="s">
        <v>5</v>
      </c>
      <c r="B776" t="s">
        <v>10</v>
      </c>
      <c r="C776">
        <v>79.61</v>
      </c>
      <c r="D776">
        <v>80.839799999999997</v>
      </c>
      <c r="E776" s="1">
        <v>42675</v>
      </c>
      <c r="F776">
        <f t="shared" si="24"/>
        <v>11</v>
      </c>
      <c r="G776">
        <f t="shared" si="25"/>
        <v>2016</v>
      </c>
    </row>
    <row r="777" spans="1:7" x14ac:dyDescent="0.25">
      <c r="A777" t="s">
        <v>5</v>
      </c>
      <c r="B777" t="s">
        <v>10</v>
      </c>
      <c r="C777">
        <v>80.72</v>
      </c>
      <c r="D777">
        <v>82.710470000000001</v>
      </c>
      <c r="E777" s="1">
        <v>42705</v>
      </c>
      <c r="F777">
        <f t="shared" si="24"/>
        <v>12</v>
      </c>
      <c r="G777">
        <f t="shared" si="25"/>
        <v>2016</v>
      </c>
    </row>
    <row r="778" spans="1:7" x14ac:dyDescent="0.25">
      <c r="A778" t="s">
        <v>5</v>
      </c>
      <c r="B778" t="s">
        <v>10</v>
      </c>
      <c r="C778">
        <v>82.55</v>
      </c>
      <c r="D778">
        <v>76.795940000000002</v>
      </c>
      <c r="E778" s="1">
        <v>42736</v>
      </c>
      <c r="F778">
        <f t="shared" si="24"/>
        <v>1</v>
      </c>
      <c r="G778">
        <f t="shared" si="25"/>
        <v>2017</v>
      </c>
    </row>
    <row r="779" spans="1:7" x14ac:dyDescent="0.25">
      <c r="A779" t="s">
        <v>5</v>
      </c>
      <c r="B779" t="s">
        <v>10</v>
      </c>
      <c r="C779">
        <v>84.03</v>
      </c>
      <c r="D779">
        <v>74.029759999999996</v>
      </c>
      <c r="E779" s="1">
        <v>42767</v>
      </c>
      <c r="F779">
        <f t="shared" si="24"/>
        <v>2</v>
      </c>
      <c r="G779">
        <f t="shared" si="25"/>
        <v>2017</v>
      </c>
    </row>
    <row r="780" spans="1:7" x14ac:dyDescent="0.25">
      <c r="A780" t="s">
        <v>5</v>
      </c>
      <c r="B780" t="s">
        <v>10</v>
      </c>
      <c r="C780">
        <v>83.08</v>
      </c>
      <c r="D780">
        <v>85.313500000000005</v>
      </c>
      <c r="E780" s="1">
        <v>42795</v>
      </c>
      <c r="F780">
        <f t="shared" si="24"/>
        <v>3</v>
      </c>
      <c r="G780">
        <f t="shared" si="25"/>
        <v>2017</v>
      </c>
    </row>
    <row r="781" spans="1:7" x14ac:dyDescent="0.25">
      <c r="A781" t="s">
        <v>5</v>
      </c>
      <c r="B781" t="s">
        <v>10</v>
      </c>
      <c r="C781">
        <v>84.41</v>
      </c>
      <c r="D781">
        <v>80.060599999999994</v>
      </c>
      <c r="E781" s="1">
        <v>42826</v>
      </c>
      <c r="F781">
        <f t="shared" si="24"/>
        <v>4</v>
      </c>
      <c r="G781">
        <f t="shared" si="25"/>
        <v>2017</v>
      </c>
    </row>
    <row r="782" spans="1:7" x14ac:dyDescent="0.25">
      <c r="A782" t="s">
        <v>5</v>
      </c>
      <c r="B782" t="s">
        <v>10</v>
      </c>
      <c r="C782">
        <v>83.59</v>
      </c>
      <c r="D782">
        <v>86.338260000000005</v>
      </c>
      <c r="E782" s="1">
        <v>42856</v>
      </c>
      <c r="F782">
        <f t="shared" si="24"/>
        <v>5</v>
      </c>
      <c r="G782">
        <f t="shared" si="25"/>
        <v>2017</v>
      </c>
    </row>
    <row r="783" spans="1:7" x14ac:dyDescent="0.25">
      <c r="A783" t="s">
        <v>5</v>
      </c>
      <c r="B783" t="s">
        <v>10</v>
      </c>
      <c r="C783">
        <v>85.13</v>
      </c>
      <c r="D783">
        <v>85.312200000000004</v>
      </c>
      <c r="E783" s="1">
        <v>42887</v>
      </c>
      <c r="F783">
        <f t="shared" si="24"/>
        <v>6</v>
      </c>
      <c r="G783">
        <f t="shared" si="25"/>
        <v>2017</v>
      </c>
    </row>
    <row r="784" spans="1:7" x14ac:dyDescent="0.25">
      <c r="A784" t="s">
        <v>5</v>
      </c>
      <c r="B784" t="s">
        <v>10</v>
      </c>
      <c r="C784">
        <v>84.41</v>
      </c>
      <c r="D784">
        <v>86.108969999999999</v>
      </c>
      <c r="E784" s="1">
        <v>42917</v>
      </c>
      <c r="F784">
        <f t="shared" si="24"/>
        <v>7</v>
      </c>
      <c r="G784">
        <f t="shared" si="25"/>
        <v>2017</v>
      </c>
    </row>
    <row r="785" spans="1:7" x14ac:dyDescent="0.25">
      <c r="A785" t="s">
        <v>5</v>
      </c>
      <c r="B785" t="s">
        <v>10</v>
      </c>
      <c r="C785">
        <v>84.22</v>
      </c>
      <c r="D785">
        <v>89.892759999999996</v>
      </c>
      <c r="E785" s="1">
        <v>42948</v>
      </c>
      <c r="F785">
        <f t="shared" si="24"/>
        <v>8</v>
      </c>
      <c r="G785">
        <f t="shared" si="25"/>
        <v>2017</v>
      </c>
    </row>
    <row r="786" spans="1:7" x14ac:dyDescent="0.25">
      <c r="A786" t="s">
        <v>5</v>
      </c>
      <c r="B786" t="s">
        <v>10</v>
      </c>
      <c r="C786">
        <v>83.89</v>
      </c>
      <c r="D786">
        <v>85.92944</v>
      </c>
      <c r="E786" s="1">
        <v>42979</v>
      </c>
      <c r="F786">
        <f t="shared" si="24"/>
        <v>9</v>
      </c>
      <c r="G786">
        <f t="shared" si="25"/>
        <v>2017</v>
      </c>
    </row>
    <row r="787" spans="1:7" x14ac:dyDescent="0.25">
      <c r="A787" t="s">
        <v>5</v>
      </c>
      <c r="B787" t="s">
        <v>10</v>
      </c>
      <c r="C787">
        <v>85.08</v>
      </c>
      <c r="D787">
        <v>87.136080000000007</v>
      </c>
      <c r="E787" s="1">
        <v>43009</v>
      </c>
      <c r="F787">
        <f t="shared" si="24"/>
        <v>10</v>
      </c>
      <c r="G787">
        <f t="shared" si="25"/>
        <v>2017</v>
      </c>
    </row>
    <row r="788" spans="1:7" x14ac:dyDescent="0.25">
      <c r="A788" t="s">
        <v>5</v>
      </c>
      <c r="B788" t="s">
        <v>10</v>
      </c>
      <c r="C788">
        <v>84.99</v>
      </c>
      <c r="D788">
        <v>86.181200000000004</v>
      </c>
      <c r="E788" s="1">
        <v>43040</v>
      </c>
      <c r="F788">
        <f t="shared" si="24"/>
        <v>11</v>
      </c>
      <c r="G788">
        <f t="shared" si="25"/>
        <v>2017</v>
      </c>
    </row>
    <row r="789" spans="1:7" x14ac:dyDescent="0.25">
      <c r="A789" t="s">
        <v>5</v>
      </c>
      <c r="B789" t="s">
        <v>10</v>
      </c>
      <c r="C789">
        <v>85.75</v>
      </c>
      <c r="D789">
        <v>86.689139999999995</v>
      </c>
      <c r="E789" s="1">
        <v>43070</v>
      </c>
      <c r="F789">
        <f t="shared" si="24"/>
        <v>12</v>
      </c>
      <c r="G789">
        <f t="shared" si="25"/>
        <v>2017</v>
      </c>
    </row>
    <row r="790" spans="1:7" x14ac:dyDescent="0.25">
      <c r="A790" t="s">
        <v>5</v>
      </c>
      <c r="B790" t="s">
        <v>10</v>
      </c>
      <c r="C790">
        <v>84.07</v>
      </c>
      <c r="D790">
        <v>79.675330000000002</v>
      </c>
      <c r="E790" s="1">
        <v>43101</v>
      </c>
      <c r="F790">
        <f t="shared" si="24"/>
        <v>1</v>
      </c>
      <c r="G790">
        <f t="shared" si="25"/>
        <v>2018</v>
      </c>
    </row>
    <row r="791" spans="1:7" x14ac:dyDescent="0.25">
      <c r="A791" t="s">
        <v>5</v>
      </c>
      <c r="B791" t="s">
        <v>10</v>
      </c>
      <c r="C791">
        <v>84.31</v>
      </c>
      <c r="D791">
        <v>74.438860000000005</v>
      </c>
      <c r="E791" s="1">
        <v>43132</v>
      </c>
      <c r="F791">
        <f t="shared" si="24"/>
        <v>2</v>
      </c>
      <c r="G791">
        <f t="shared" si="25"/>
        <v>2018</v>
      </c>
    </row>
    <row r="792" spans="1:7" x14ac:dyDescent="0.25">
      <c r="A792" t="s">
        <v>5</v>
      </c>
      <c r="B792" t="s">
        <v>10</v>
      </c>
      <c r="C792">
        <v>84.97</v>
      </c>
      <c r="D792">
        <v>84.626189999999994</v>
      </c>
      <c r="E792" s="1">
        <v>43160</v>
      </c>
      <c r="F792">
        <f t="shared" si="24"/>
        <v>3</v>
      </c>
      <c r="G792">
        <f t="shared" si="25"/>
        <v>2018</v>
      </c>
    </row>
    <row r="793" spans="1:7" x14ac:dyDescent="0.25">
      <c r="A793" t="s">
        <v>5</v>
      </c>
      <c r="B793" t="s">
        <v>10</v>
      </c>
      <c r="C793">
        <v>86.16</v>
      </c>
      <c r="D793">
        <v>83.508160000000004</v>
      </c>
      <c r="E793" s="1">
        <v>43191</v>
      </c>
      <c r="F793">
        <f t="shared" si="24"/>
        <v>4</v>
      </c>
      <c r="G793">
        <f t="shared" si="25"/>
        <v>2018</v>
      </c>
    </row>
    <row r="794" spans="1:7" x14ac:dyDescent="0.25">
      <c r="A794" t="s">
        <v>5</v>
      </c>
      <c r="B794" t="s">
        <v>10</v>
      </c>
      <c r="C794">
        <v>77.099999999999994</v>
      </c>
      <c r="D794">
        <v>79.763980000000004</v>
      </c>
      <c r="E794" s="1">
        <v>43221</v>
      </c>
      <c r="F794">
        <f t="shared" si="24"/>
        <v>5</v>
      </c>
      <c r="G794">
        <f t="shared" si="25"/>
        <v>2018</v>
      </c>
    </row>
    <row r="795" spans="1:7" x14ac:dyDescent="0.25">
      <c r="A795" t="s">
        <v>5</v>
      </c>
      <c r="B795" t="s">
        <v>10</v>
      </c>
      <c r="C795">
        <v>89.13</v>
      </c>
      <c r="D795">
        <v>89.097070000000002</v>
      </c>
      <c r="E795" s="1">
        <v>43252</v>
      </c>
      <c r="F795">
        <f t="shared" si="24"/>
        <v>6</v>
      </c>
      <c r="G795">
        <f t="shared" si="25"/>
        <v>2018</v>
      </c>
    </row>
    <row r="796" spans="1:7" x14ac:dyDescent="0.25">
      <c r="A796" t="s">
        <v>5</v>
      </c>
      <c r="B796" t="s">
        <v>10</v>
      </c>
      <c r="C796">
        <v>84.95</v>
      </c>
      <c r="D796">
        <v>87.284570000000002</v>
      </c>
      <c r="E796" s="1">
        <v>43282</v>
      </c>
      <c r="F796">
        <f t="shared" si="24"/>
        <v>7</v>
      </c>
      <c r="G796">
        <f t="shared" si="25"/>
        <v>2018</v>
      </c>
    </row>
    <row r="797" spans="1:7" x14ac:dyDescent="0.25">
      <c r="A797" t="s">
        <v>5</v>
      </c>
      <c r="B797" t="s">
        <v>10</v>
      </c>
      <c r="C797">
        <v>87.99</v>
      </c>
      <c r="D797">
        <v>93.862729999999999</v>
      </c>
      <c r="E797" s="1">
        <v>43313</v>
      </c>
      <c r="F797">
        <f t="shared" si="24"/>
        <v>8</v>
      </c>
      <c r="G797">
        <f t="shared" si="25"/>
        <v>2018</v>
      </c>
    </row>
    <row r="798" spans="1:7" x14ac:dyDescent="0.25">
      <c r="A798" t="s">
        <v>5</v>
      </c>
      <c r="B798" t="s">
        <v>10</v>
      </c>
      <c r="C798">
        <v>86.23</v>
      </c>
      <c r="D798">
        <v>86.936880000000002</v>
      </c>
      <c r="E798" s="1">
        <v>43344</v>
      </c>
      <c r="F798">
        <f t="shared" si="24"/>
        <v>9</v>
      </c>
      <c r="G798">
        <f t="shared" si="25"/>
        <v>2018</v>
      </c>
    </row>
    <row r="799" spans="1:7" x14ac:dyDescent="0.25">
      <c r="A799" t="s">
        <v>5</v>
      </c>
      <c r="B799" t="s">
        <v>10</v>
      </c>
      <c r="C799">
        <v>85.97</v>
      </c>
      <c r="D799">
        <v>89.232919999999993</v>
      </c>
      <c r="E799" s="1">
        <v>43374</v>
      </c>
      <c r="F799">
        <f t="shared" si="24"/>
        <v>10</v>
      </c>
      <c r="G799">
        <f t="shared" si="25"/>
        <v>2018</v>
      </c>
    </row>
    <row r="800" spans="1:7" x14ac:dyDescent="0.25">
      <c r="A800" t="s">
        <v>5</v>
      </c>
      <c r="B800" t="s">
        <v>10</v>
      </c>
      <c r="C800">
        <v>85.58</v>
      </c>
      <c r="D800">
        <v>86.793700000000001</v>
      </c>
      <c r="E800" s="1">
        <v>43405</v>
      </c>
      <c r="F800">
        <f t="shared" si="24"/>
        <v>11</v>
      </c>
      <c r="G800">
        <f t="shared" si="25"/>
        <v>2018</v>
      </c>
    </row>
    <row r="801" spans="1:7" x14ac:dyDescent="0.25">
      <c r="A801" t="s">
        <v>5</v>
      </c>
      <c r="B801" t="s">
        <v>10</v>
      </c>
      <c r="C801">
        <v>85.8</v>
      </c>
      <c r="D801">
        <v>86.469220000000007</v>
      </c>
      <c r="E801" s="1">
        <v>43435</v>
      </c>
      <c r="F801">
        <f t="shared" si="24"/>
        <v>12</v>
      </c>
      <c r="G801">
        <f t="shared" si="25"/>
        <v>2018</v>
      </c>
    </row>
    <row r="802" spans="1:7" x14ac:dyDescent="0.25">
      <c r="A802" t="s">
        <v>5</v>
      </c>
      <c r="B802" t="s">
        <v>10</v>
      </c>
      <c r="C802">
        <v>84.26</v>
      </c>
      <c r="D802">
        <v>80.189779999999999</v>
      </c>
      <c r="E802" s="1">
        <v>43466</v>
      </c>
      <c r="F802">
        <f t="shared" si="24"/>
        <v>1</v>
      </c>
      <c r="G802">
        <f t="shared" si="25"/>
        <v>2019</v>
      </c>
    </row>
    <row r="803" spans="1:7" x14ac:dyDescent="0.25">
      <c r="A803" t="s">
        <v>5</v>
      </c>
      <c r="B803" t="s">
        <v>10</v>
      </c>
      <c r="C803">
        <v>81.599999999999994</v>
      </c>
      <c r="D803">
        <v>76.211479999999995</v>
      </c>
      <c r="E803" s="1">
        <v>43497</v>
      </c>
      <c r="F803">
        <f t="shared" si="24"/>
        <v>2</v>
      </c>
      <c r="G803">
        <f t="shared" si="25"/>
        <v>2019</v>
      </c>
    </row>
    <row r="804" spans="1:7" x14ac:dyDescent="0.25">
      <c r="A804" t="s">
        <v>5</v>
      </c>
      <c r="B804" t="s">
        <v>10</v>
      </c>
      <c r="C804">
        <v>82.93</v>
      </c>
      <c r="D804">
        <v>78.507350000000002</v>
      </c>
      <c r="E804" s="1">
        <v>43525</v>
      </c>
      <c r="F804">
        <f t="shared" si="24"/>
        <v>3</v>
      </c>
      <c r="G804">
        <f t="shared" si="25"/>
        <v>2019</v>
      </c>
    </row>
    <row r="805" spans="1:7" x14ac:dyDescent="0.25">
      <c r="A805" t="s">
        <v>5</v>
      </c>
      <c r="B805" t="s">
        <v>10</v>
      </c>
      <c r="C805">
        <v>82.29</v>
      </c>
      <c r="D805">
        <v>79.368639999999999</v>
      </c>
      <c r="E805" s="1">
        <v>43556</v>
      </c>
      <c r="F805">
        <f t="shared" si="24"/>
        <v>4</v>
      </c>
      <c r="G805">
        <f t="shared" si="25"/>
        <v>2019</v>
      </c>
    </row>
    <row r="806" spans="1:7" x14ac:dyDescent="0.25">
      <c r="A806" t="s">
        <v>5</v>
      </c>
      <c r="B806" t="s">
        <v>10</v>
      </c>
      <c r="C806">
        <v>81.61</v>
      </c>
      <c r="D806">
        <v>84.327740000000006</v>
      </c>
      <c r="E806" s="1">
        <v>43586</v>
      </c>
      <c r="F806">
        <f t="shared" si="24"/>
        <v>5</v>
      </c>
      <c r="G806">
        <f t="shared" si="25"/>
        <v>2019</v>
      </c>
    </row>
    <row r="807" spans="1:7" x14ac:dyDescent="0.25">
      <c r="A807" t="s">
        <v>5</v>
      </c>
      <c r="B807" t="s">
        <v>10</v>
      </c>
      <c r="C807">
        <v>80.67</v>
      </c>
      <c r="D807">
        <v>79.509259999999998</v>
      </c>
      <c r="E807" s="1">
        <v>43617</v>
      </c>
      <c r="F807">
        <f t="shared" si="24"/>
        <v>6</v>
      </c>
      <c r="G807">
        <f t="shared" si="25"/>
        <v>2019</v>
      </c>
    </row>
    <row r="808" spans="1:7" x14ac:dyDescent="0.25">
      <c r="A808" t="s">
        <v>5</v>
      </c>
      <c r="B808" t="s">
        <v>10</v>
      </c>
      <c r="C808">
        <v>82.28</v>
      </c>
      <c r="D808">
        <v>86.012200000000007</v>
      </c>
      <c r="E808" s="1">
        <v>43647</v>
      </c>
      <c r="F808">
        <f t="shared" si="24"/>
        <v>7</v>
      </c>
      <c r="G808">
        <f t="shared" si="25"/>
        <v>2019</v>
      </c>
    </row>
    <row r="809" spans="1:7" x14ac:dyDescent="0.25">
      <c r="A809" t="s">
        <v>5</v>
      </c>
      <c r="B809" t="s">
        <v>10</v>
      </c>
      <c r="C809">
        <v>81.53</v>
      </c>
      <c r="D809">
        <v>86.500879999999995</v>
      </c>
      <c r="E809" s="1">
        <v>43678</v>
      </c>
      <c r="F809">
        <f t="shared" si="24"/>
        <v>8</v>
      </c>
      <c r="G809">
        <f t="shared" si="25"/>
        <v>2019</v>
      </c>
    </row>
    <row r="810" spans="1:7" x14ac:dyDescent="0.25">
      <c r="A810" t="s">
        <v>5</v>
      </c>
      <c r="B810" t="s">
        <v>10</v>
      </c>
      <c r="C810">
        <v>84.4</v>
      </c>
      <c r="D810">
        <v>85.356930000000006</v>
      </c>
      <c r="E810" s="1">
        <v>43709</v>
      </c>
      <c r="F810">
        <f t="shared" si="24"/>
        <v>9</v>
      </c>
      <c r="G810">
        <f t="shared" si="25"/>
        <v>2019</v>
      </c>
    </row>
    <row r="811" spans="1:7" x14ac:dyDescent="0.25">
      <c r="A811" t="s">
        <v>5</v>
      </c>
      <c r="B811" t="s">
        <v>10</v>
      </c>
      <c r="C811">
        <v>86.61</v>
      </c>
      <c r="D811">
        <v>89.651079999999993</v>
      </c>
      <c r="E811" s="1">
        <v>43739</v>
      </c>
      <c r="F811">
        <f t="shared" si="24"/>
        <v>10</v>
      </c>
      <c r="G811">
        <f t="shared" si="25"/>
        <v>2019</v>
      </c>
    </row>
    <row r="812" spans="1:7" x14ac:dyDescent="0.25">
      <c r="A812" t="s">
        <v>5</v>
      </c>
      <c r="B812" t="s">
        <v>10</v>
      </c>
      <c r="C812">
        <v>84.58</v>
      </c>
      <c r="D812">
        <v>85.270139999999998</v>
      </c>
      <c r="E812" s="1">
        <v>43770</v>
      </c>
      <c r="F812">
        <f t="shared" si="24"/>
        <v>11</v>
      </c>
      <c r="G812">
        <f t="shared" si="25"/>
        <v>2019</v>
      </c>
    </row>
    <row r="813" spans="1:7" x14ac:dyDescent="0.25">
      <c r="A813" t="s">
        <v>5</v>
      </c>
      <c r="B813" t="s">
        <v>10</v>
      </c>
      <c r="C813">
        <v>83.81</v>
      </c>
      <c r="D813">
        <v>85.010739999999998</v>
      </c>
      <c r="E813" s="1">
        <v>43800</v>
      </c>
      <c r="F813">
        <f t="shared" si="24"/>
        <v>12</v>
      </c>
      <c r="G813">
        <f t="shared" si="25"/>
        <v>2019</v>
      </c>
    </row>
    <row r="814" spans="1:7" x14ac:dyDescent="0.25">
      <c r="A814" t="s">
        <v>5</v>
      </c>
      <c r="B814" t="s">
        <v>10</v>
      </c>
      <c r="C814">
        <v>84.91</v>
      </c>
      <c r="D814">
        <v>80.961569999999995</v>
      </c>
      <c r="E814" s="1">
        <v>43831</v>
      </c>
      <c r="F814">
        <f t="shared" si="24"/>
        <v>1</v>
      </c>
      <c r="G814">
        <f t="shared" si="25"/>
        <v>2020</v>
      </c>
    </row>
    <row r="815" spans="1:7" x14ac:dyDescent="0.25">
      <c r="A815" t="s">
        <v>5</v>
      </c>
      <c r="B815" t="s">
        <v>10</v>
      </c>
      <c r="C815">
        <v>84.47</v>
      </c>
      <c r="D815">
        <v>77.456239999999994</v>
      </c>
      <c r="E815" s="1">
        <v>43862</v>
      </c>
      <c r="F815">
        <f t="shared" si="24"/>
        <v>2</v>
      </c>
      <c r="G815">
        <f t="shared" si="25"/>
        <v>2020</v>
      </c>
    </row>
    <row r="816" spans="1:7" x14ac:dyDescent="0.25">
      <c r="A816" t="s">
        <v>5</v>
      </c>
      <c r="B816" t="s">
        <v>10</v>
      </c>
      <c r="C816">
        <v>78.599999999999994</v>
      </c>
      <c r="D816">
        <v>78.821870000000004</v>
      </c>
      <c r="E816" s="1">
        <v>43891</v>
      </c>
      <c r="F816">
        <f t="shared" si="24"/>
        <v>3</v>
      </c>
      <c r="G816">
        <f t="shared" si="25"/>
        <v>2020</v>
      </c>
    </row>
    <row r="817" spans="1:7" x14ac:dyDescent="0.25">
      <c r="A817" t="s">
        <v>5</v>
      </c>
      <c r="B817" t="s">
        <v>10</v>
      </c>
      <c r="C817">
        <v>64.92</v>
      </c>
      <c r="D817">
        <v>62.533999999999999</v>
      </c>
      <c r="E817" s="1">
        <v>43922</v>
      </c>
      <c r="F817">
        <f t="shared" si="24"/>
        <v>4</v>
      </c>
      <c r="G817">
        <f t="shared" si="25"/>
        <v>2020</v>
      </c>
    </row>
    <row r="818" spans="1:7" x14ac:dyDescent="0.25">
      <c r="A818" t="s">
        <v>5</v>
      </c>
      <c r="B818" t="s">
        <v>10</v>
      </c>
      <c r="C818">
        <v>66.19</v>
      </c>
      <c r="D818">
        <v>67.000559999999993</v>
      </c>
      <c r="E818" s="1">
        <v>43952</v>
      </c>
      <c r="F818">
        <f t="shared" si="24"/>
        <v>5</v>
      </c>
      <c r="G818">
        <f t="shared" si="25"/>
        <v>2020</v>
      </c>
    </row>
    <row r="819" spans="1:7" x14ac:dyDescent="0.25">
      <c r="A819" t="s">
        <v>5</v>
      </c>
      <c r="B819" t="s">
        <v>10</v>
      </c>
      <c r="C819">
        <v>70.069999999999993</v>
      </c>
      <c r="D819">
        <v>70.540279999999996</v>
      </c>
      <c r="E819" s="1">
        <v>43983</v>
      </c>
      <c r="F819">
        <f t="shared" si="24"/>
        <v>6</v>
      </c>
      <c r="G819">
        <f t="shared" si="25"/>
        <v>2020</v>
      </c>
    </row>
    <row r="820" spans="1:7" x14ac:dyDescent="0.25">
      <c r="A820" t="s">
        <v>5</v>
      </c>
      <c r="B820" t="s">
        <v>10</v>
      </c>
      <c r="C820">
        <v>72.64</v>
      </c>
      <c r="D820">
        <v>76.076859999999996</v>
      </c>
      <c r="E820" s="1">
        <v>44013</v>
      </c>
      <c r="F820">
        <f t="shared" si="24"/>
        <v>7</v>
      </c>
      <c r="G820">
        <f t="shared" si="25"/>
        <v>2020</v>
      </c>
    </row>
    <row r="821" spans="1:7" x14ac:dyDescent="0.25">
      <c r="A821" t="s">
        <v>5</v>
      </c>
      <c r="B821" t="s">
        <v>10</v>
      </c>
      <c r="C821">
        <v>75.78</v>
      </c>
      <c r="D821">
        <v>79.191609999999997</v>
      </c>
      <c r="E821" s="1">
        <v>44044</v>
      </c>
      <c r="F821">
        <f t="shared" si="24"/>
        <v>8</v>
      </c>
      <c r="G821">
        <f t="shared" si="25"/>
        <v>2020</v>
      </c>
    </row>
    <row r="822" spans="1:7" x14ac:dyDescent="0.25">
      <c r="A822" t="s">
        <v>5</v>
      </c>
      <c r="B822" t="s">
        <v>10</v>
      </c>
      <c r="C822">
        <v>77.89</v>
      </c>
      <c r="D822">
        <v>80.319389999999999</v>
      </c>
      <c r="E822" s="1">
        <v>44075</v>
      </c>
      <c r="F822">
        <f t="shared" si="24"/>
        <v>9</v>
      </c>
      <c r="G822">
        <f t="shared" si="25"/>
        <v>2020</v>
      </c>
    </row>
    <row r="823" spans="1:7" x14ac:dyDescent="0.25">
      <c r="A823" t="s">
        <v>5</v>
      </c>
      <c r="B823" t="s">
        <v>10</v>
      </c>
      <c r="C823">
        <v>80.489999999999995</v>
      </c>
      <c r="D823">
        <v>82.365759999999995</v>
      </c>
      <c r="E823" s="1">
        <v>44105</v>
      </c>
      <c r="F823">
        <f t="shared" si="24"/>
        <v>10</v>
      </c>
      <c r="G823">
        <f t="shared" si="25"/>
        <v>2020</v>
      </c>
    </row>
    <row r="824" spans="1:7" x14ac:dyDescent="0.25">
      <c r="A824" t="s">
        <v>5</v>
      </c>
      <c r="B824" t="s">
        <v>10</v>
      </c>
      <c r="C824">
        <v>81.83</v>
      </c>
      <c r="D824">
        <v>81.240279999999998</v>
      </c>
      <c r="E824" s="1">
        <v>44136</v>
      </c>
      <c r="F824">
        <f t="shared" si="24"/>
        <v>11</v>
      </c>
      <c r="G824">
        <f t="shared" si="25"/>
        <v>2020</v>
      </c>
    </row>
    <row r="825" spans="1:7" x14ac:dyDescent="0.25">
      <c r="A825" t="s">
        <v>5</v>
      </c>
      <c r="B825" t="s">
        <v>10</v>
      </c>
      <c r="C825">
        <v>80.849999999999994</v>
      </c>
      <c r="D825">
        <v>83.305350000000004</v>
      </c>
      <c r="E825" s="1">
        <v>44166</v>
      </c>
      <c r="F825">
        <f t="shared" si="24"/>
        <v>12</v>
      </c>
      <c r="G825">
        <f t="shared" si="25"/>
        <v>2020</v>
      </c>
    </row>
    <row r="826" spans="1:7" x14ac:dyDescent="0.25">
      <c r="A826" t="s">
        <v>5</v>
      </c>
      <c r="B826" t="s">
        <v>10</v>
      </c>
      <c r="C826">
        <v>83.24</v>
      </c>
      <c r="D826">
        <v>77.901240000000001</v>
      </c>
      <c r="E826" s="1">
        <v>44197</v>
      </c>
      <c r="F826">
        <f t="shared" si="24"/>
        <v>1</v>
      </c>
      <c r="G826">
        <f t="shared" si="25"/>
        <v>2021</v>
      </c>
    </row>
    <row r="827" spans="1:7" x14ac:dyDescent="0.25">
      <c r="A827" t="s">
        <v>5</v>
      </c>
      <c r="B827" t="s">
        <v>10</v>
      </c>
      <c r="C827">
        <v>87.08</v>
      </c>
      <c r="D827">
        <v>77.52937</v>
      </c>
      <c r="E827" s="1">
        <v>44228</v>
      </c>
      <c r="F827">
        <f t="shared" si="24"/>
        <v>2</v>
      </c>
      <c r="G827">
        <f t="shared" si="25"/>
        <v>2021</v>
      </c>
    </row>
    <row r="828" spans="1:7" x14ac:dyDescent="0.25">
      <c r="A828" t="s">
        <v>5</v>
      </c>
      <c r="B828" t="s">
        <v>10</v>
      </c>
      <c r="C828">
        <v>84.04</v>
      </c>
      <c r="D828">
        <v>85.757180000000005</v>
      </c>
      <c r="E828" s="1">
        <v>44256</v>
      </c>
      <c r="F828">
        <f t="shared" si="24"/>
        <v>3</v>
      </c>
      <c r="G828">
        <f t="shared" si="25"/>
        <v>2021</v>
      </c>
    </row>
    <row r="829" spans="1:7" x14ac:dyDescent="0.25">
      <c r="A829" t="s">
        <v>5</v>
      </c>
      <c r="B829" t="s">
        <v>10</v>
      </c>
      <c r="C829">
        <v>85.13</v>
      </c>
      <c r="D829">
        <v>81.908159999999995</v>
      </c>
      <c r="E829" s="1">
        <v>44287</v>
      </c>
      <c r="F829">
        <f t="shared" si="24"/>
        <v>4</v>
      </c>
      <c r="G829">
        <f t="shared" si="25"/>
        <v>2021</v>
      </c>
    </row>
    <row r="830" spans="1:7" x14ac:dyDescent="0.25">
      <c r="A830" t="s">
        <v>5</v>
      </c>
      <c r="B830" t="s">
        <v>10</v>
      </c>
      <c r="C830">
        <v>88.03</v>
      </c>
      <c r="D830">
        <v>88.83211</v>
      </c>
      <c r="E830" s="1">
        <v>44317</v>
      </c>
      <c r="F830">
        <f t="shared" si="24"/>
        <v>5</v>
      </c>
      <c r="G830">
        <f t="shared" si="25"/>
        <v>2021</v>
      </c>
    </row>
    <row r="831" spans="1:7" x14ac:dyDescent="0.25">
      <c r="A831" t="s">
        <v>5</v>
      </c>
      <c r="B831" t="s">
        <v>10</v>
      </c>
      <c r="C831">
        <v>89</v>
      </c>
      <c r="D831">
        <v>90.05001</v>
      </c>
      <c r="E831" s="1">
        <v>44348</v>
      </c>
      <c r="F831">
        <f t="shared" si="24"/>
        <v>6</v>
      </c>
      <c r="G831">
        <f t="shared" si="25"/>
        <v>2021</v>
      </c>
    </row>
    <row r="832" spans="1:7" x14ac:dyDescent="0.25">
      <c r="A832" t="s">
        <v>5</v>
      </c>
      <c r="B832" t="s">
        <v>10</v>
      </c>
      <c r="C832">
        <v>88.27</v>
      </c>
      <c r="D832">
        <v>92.047160000000005</v>
      </c>
      <c r="E832" s="1">
        <v>44378</v>
      </c>
      <c r="F832">
        <f t="shared" si="24"/>
        <v>7</v>
      </c>
      <c r="G832">
        <f t="shared" si="25"/>
        <v>2021</v>
      </c>
    </row>
    <row r="833" spans="1:7" x14ac:dyDescent="0.25">
      <c r="A833" t="s">
        <v>5</v>
      </c>
      <c r="B833" t="s">
        <v>10</v>
      </c>
      <c r="C833">
        <v>89.77</v>
      </c>
      <c r="D833">
        <v>94.491579999999999</v>
      </c>
      <c r="E833" s="1">
        <v>44409</v>
      </c>
      <c r="F833">
        <f t="shared" si="24"/>
        <v>8</v>
      </c>
      <c r="G833">
        <f t="shared" si="25"/>
        <v>2021</v>
      </c>
    </row>
    <row r="834" spans="1:7" x14ac:dyDescent="0.25">
      <c r="A834" t="s">
        <v>5</v>
      </c>
      <c r="B834" t="s">
        <v>10</v>
      </c>
      <c r="C834">
        <v>88.8</v>
      </c>
      <c r="D834">
        <v>91.360150000000004</v>
      </c>
      <c r="E834" s="1">
        <v>44440</v>
      </c>
      <c r="F834">
        <f t="shared" ref="F834:F897" si="26">MONTH(E834)</f>
        <v>9</v>
      </c>
      <c r="G834">
        <f t="shared" ref="G834:G897" si="27">YEAR(E834)</f>
        <v>2021</v>
      </c>
    </row>
    <row r="835" spans="1:7" x14ac:dyDescent="0.25">
      <c r="A835" t="s">
        <v>5</v>
      </c>
      <c r="B835" t="s">
        <v>10</v>
      </c>
      <c r="C835">
        <v>90.01</v>
      </c>
      <c r="D835">
        <v>90.545599999999993</v>
      </c>
      <c r="E835" s="1">
        <v>44470</v>
      </c>
      <c r="F835">
        <f t="shared" si="26"/>
        <v>10</v>
      </c>
      <c r="G835">
        <f t="shared" si="27"/>
        <v>2021</v>
      </c>
    </row>
    <row r="836" spans="1:7" x14ac:dyDescent="0.25">
      <c r="A836" t="s">
        <v>5</v>
      </c>
      <c r="B836" t="s">
        <v>10</v>
      </c>
      <c r="C836">
        <v>91.96</v>
      </c>
      <c r="D836">
        <v>92.340710000000001</v>
      </c>
      <c r="E836" s="1">
        <v>44501</v>
      </c>
      <c r="F836">
        <f t="shared" si="26"/>
        <v>11</v>
      </c>
      <c r="G836">
        <f t="shared" si="27"/>
        <v>2021</v>
      </c>
    </row>
    <row r="837" spans="1:7" x14ac:dyDescent="0.25">
      <c r="A837" t="s">
        <v>5</v>
      </c>
      <c r="B837" t="s">
        <v>10</v>
      </c>
      <c r="C837">
        <v>93.73</v>
      </c>
      <c r="D837">
        <v>96.405060000000006</v>
      </c>
      <c r="E837" s="1">
        <v>44531</v>
      </c>
      <c r="F837">
        <f t="shared" si="26"/>
        <v>12</v>
      </c>
      <c r="G837">
        <f t="shared" si="27"/>
        <v>2021</v>
      </c>
    </row>
    <row r="838" spans="1:7" x14ac:dyDescent="0.25">
      <c r="A838" t="s">
        <v>5</v>
      </c>
      <c r="B838" t="s">
        <v>10</v>
      </c>
      <c r="C838">
        <v>96.08</v>
      </c>
      <c r="D838">
        <v>89.68083</v>
      </c>
      <c r="E838" s="1">
        <v>44562</v>
      </c>
      <c r="F838">
        <f t="shared" si="26"/>
        <v>1</v>
      </c>
      <c r="G838">
        <f t="shared" si="27"/>
        <v>2022</v>
      </c>
    </row>
    <row r="839" spans="1:7" x14ac:dyDescent="0.25">
      <c r="A839" t="s">
        <v>5</v>
      </c>
      <c r="B839" t="s">
        <v>10</v>
      </c>
      <c r="C839">
        <v>99.01</v>
      </c>
      <c r="D839">
        <v>88.421710000000004</v>
      </c>
      <c r="E839" s="1">
        <v>44593</v>
      </c>
      <c r="F839">
        <f t="shared" si="26"/>
        <v>2</v>
      </c>
      <c r="G839">
        <f t="shared" si="27"/>
        <v>2022</v>
      </c>
    </row>
    <row r="840" spans="1:7" x14ac:dyDescent="0.25">
      <c r="A840" t="s">
        <v>5</v>
      </c>
      <c r="B840" t="s">
        <v>10</v>
      </c>
      <c r="C840">
        <v>98.39</v>
      </c>
      <c r="D840">
        <v>100.64192</v>
      </c>
      <c r="E840" s="1">
        <v>44621</v>
      </c>
      <c r="F840">
        <f t="shared" si="26"/>
        <v>3</v>
      </c>
      <c r="G840">
        <f t="shared" si="27"/>
        <v>2022</v>
      </c>
    </row>
    <row r="841" spans="1:7" x14ac:dyDescent="0.25">
      <c r="A841" t="s">
        <v>5</v>
      </c>
      <c r="B841" t="s">
        <v>10</v>
      </c>
      <c r="C841">
        <v>98.81</v>
      </c>
      <c r="D841">
        <v>94.722229999999996</v>
      </c>
      <c r="E841" s="1">
        <v>44652</v>
      </c>
      <c r="F841">
        <f t="shared" si="26"/>
        <v>4</v>
      </c>
      <c r="G841">
        <f t="shared" si="27"/>
        <v>2022</v>
      </c>
    </row>
    <row r="842" spans="1:7" x14ac:dyDescent="0.25">
      <c r="A842" t="s">
        <v>5</v>
      </c>
      <c r="B842" t="s">
        <v>10</v>
      </c>
      <c r="C842">
        <v>97.89</v>
      </c>
      <c r="D842">
        <v>99.385059999999996</v>
      </c>
      <c r="E842" s="1">
        <v>44682</v>
      </c>
      <c r="F842">
        <f t="shared" si="26"/>
        <v>5</v>
      </c>
      <c r="G842">
        <f t="shared" si="27"/>
        <v>2022</v>
      </c>
    </row>
    <row r="843" spans="1:7" x14ac:dyDescent="0.25">
      <c r="A843" t="s">
        <v>5</v>
      </c>
      <c r="B843" t="s">
        <v>10</v>
      </c>
      <c r="C843">
        <v>97.86</v>
      </c>
      <c r="D843">
        <v>99.139979999999994</v>
      </c>
      <c r="E843" s="1">
        <v>44713</v>
      </c>
      <c r="F843">
        <f t="shared" si="26"/>
        <v>6</v>
      </c>
      <c r="G843">
        <f t="shared" si="27"/>
        <v>2022</v>
      </c>
    </row>
    <row r="844" spans="1:7" x14ac:dyDescent="0.25">
      <c r="A844" t="s">
        <v>5</v>
      </c>
      <c r="B844" t="s">
        <v>10</v>
      </c>
      <c r="C844">
        <v>100.81</v>
      </c>
      <c r="D844">
        <v>103.91275</v>
      </c>
      <c r="E844" s="1">
        <v>44743</v>
      </c>
      <c r="F844">
        <f t="shared" si="26"/>
        <v>7</v>
      </c>
      <c r="G844">
        <f t="shared" si="27"/>
        <v>2022</v>
      </c>
    </row>
    <row r="845" spans="1:7" x14ac:dyDescent="0.25">
      <c r="A845" t="s">
        <v>5</v>
      </c>
      <c r="B845" t="s">
        <v>10</v>
      </c>
      <c r="C845">
        <v>101.99</v>
      </c>
      <c r="D845">
        <v>108.95581</v>
      </c>
      <c r="E845" s="1">
        <v>44774</v>
      </c>
      <c r="F845">
        <f t="shared" si="26"/>
        <v>8</v>
      </c>
      <c r="G845">
        <f t="shared" si="27"/>
        <v>2022</v>
      </c>
    </row>
    <row r="846" spans="1:7" x14ac:dyDescent="0.25">
      <c r="A846" t="s">
        <v>5</v>
      </c>
      <c r="B846" t="s">
        <v>10</v>
      </c>
      <c r="C846">
        <v>102.26</v>
      </c>
      <c r="D846">
        <v>105.08134</v>
      </c>
      <c r="E846" s="1">
        <v>44805</v>
      </c>
      <c r="F846">
        <f t="shared" si="26"/>
        <v>9</v>
      </c>
      <c r="G846">
        <f t="shared" si="27"/>
        <v>2022</v>
      </c>
    </row>
    <row r="847" spans="1:7" x14ac:dyDescent="0.25">
      <c r="A847" t="s">
        <v>5</v>
      </c>
      <c r="B847" t="s">
        <v>10</v>
      </c>
      <c r="C847">
        <v>101.46</v>
      </c>
      <c r="D847">
        <v>101.65676999999999</v>
      </c>
      <c r="E847" s="1">
        <v>44835</v>
      </c>
      <c r="F847">
        <f t="shared" si="26"/>
        <v>10</v>
      </c>
      <c r="G847">
        <f t="shared" si="27"/>
        <v>2022</v>
      </c>
    </row>
    <row r="848" spans="1:7" x14ac:dyDescent="0.25">
      <c r="A848" t="s">
        <v>5</v>
      </c>
      <c r="B848" t="s">
        <v>10</v>
      </c>
      <c r="C848">
        <v>101.91</v>
      </c>
      <c r="D848">
        <v>102.13943999999999</v>
      </c>
      <c r="E848" s="1">
        <v>44866</v>
      </c>
      <c r="F848">
        <f t="shared" si="26"/>
        <v>11</v>
      </c>
      <c r="G848">
        <f t="shared" si="27"/>
        <v>2022</v>
      </c>
    </row>
    <row r="849" spans="1:7" x14ac:dyDescent="0.25">
      <c r="A849" t="s">
        <v>5</v>
      </c>
      <c r="B849" t="s">
        <v>10</v>
      </c>
      <c r="C849">
        <v>103.99</v>
      </c>
      <c r="D849">
        <v>106.26215000000001</v>
      </c>
      <c r="E849" s="1">
        <v>44896</v>
      </c>
      <c r="F849">
        <f t="shared" si="26"/>
        <v>12</v>
      </c>
      <c r="G849">
        <f t="shared" si="27"/>
        <v>2022</v>
      </c>
    </row>
    <row r="850" spans="1:7" x14ac:dyDescent="0.25">
      <c r="A850" t="s">
        <v>5</v>
      </c>
      <c r="B850" t="s">
        <v>10</v>
      </c>
      <c r="C850">
        <v>100.36</v>
      </c>
      <c r="D850">
        <v>94.141990000000007</v>
      </c>
      <c r="E850" s="1">
        <v>44927</v>
      </c>
      <c r="F850">
        <f t="shared" si="26"/>
        <v>1</v>
      </c>
      <c r="G850">
        <f t="shared" si="27"/>
        <v>2023</v>
      </c>
    </row>
    <row r="851" spans="1:7" x14ac:dyDescent="0.25">
      <c r="A851" t="s">
        <v>5</v>
      </c>
      <c r="B851" t="s">
        <v>10</v>
      </c>
      <c r="C851">
        <v>103.73</v>
      </c>
      <c r="D851">
        <v>92.744280000000003</v>
      </c>
      <c r="E851" s="1">
        <v>44958</v>
      </c>
      <c r="F851">
        <f t="shared" si="26"/>
        <v>2</v>
      </c>
      <c r="G851">
        <f t="shared" si="27"/>
        <v>2023</v>
      </c>
    </row>
    <row r="852" spans="1:7" x14ac:dyDescent="0.25">
      <c r="A852" t="s">
        <v>5</v>
      </c>
      <c r="B852" t="s">
        <v>10</v>
      </c>
      <c r="C852">
        <v>106.35</v>
      </c>
      <c r="D852">
        <v>108.88903000000001</v>
      </c>
      <c r="E852" s="1">
        <v>44986</v>
      </c>
      <c r="F852">
        <f t="shared" si="26"/>
        <v>3</v>
      </c>
      <c r="G852">
        <f t="shared" si="27"/>
        <v>2023</v>
      </c>
    </row>
    <row r="853" spans="1:7" x14ac:dyDescent="0.25">
      <c r="A853" t="s">
        <v>5</v>
      </c>
      <c r="B853" t="s">
        <v>10</v>
      </c>
      <c r="C853">
        <v>101.57</v>
      </c>
      <c r="D853">
        <v>96.175780000000003</v>
      </c>
      <c r="E853" s="1">
        <v>45017</v>
      </c>
      <c r="F853">
        <f t="shared" si="26"/>
        <v>4</v>
      </c>
      <c r="G853">
        <f t="shared" si="27"/>
        <v>2023</v>
      </c>
    </row>
    <row r="854" spans="1:7" x14ac:dyDescent="0.25">
      <c r="A854" t="s">
        <v>5</v>
      </c>
      <c r="B854" t="s">
        <v>10</v>
      </c>
      <c r="C854">
        <v>103.24</v>
      </c>
      <c r="D854">
        <v>106.34228</v>
      </c>
      <c r="E854" s="1">
        <v>45047</v>
      </c>
      <c r="F854">
        <f t="shared" si="26"/>
        <v>5</v>
      </c>
      <c r="G854">
        <f t="shared" si="27"/>
        <v>2023</v>
      </c>
    </row>
    <row r="855" spans="1:7" x14ac:dyDescent="0.25">
      <c r="A855" t="s">
        <v>5</v>
      </c>
      <c r="B855" t="s">
        <v>10</v>
      </c>
      <c r="C855">
        <v>102.11</v>
      </c>
      <c r="D855">
        <v>103.67473</v>
      </c>
      <c r="E855" s="1">
        <v>45078</v>
      </c>
      <c r="F855">
        <f t="shared" si="26"/>
        <v>6</v>
      </c>
      <c r="G855">
        <f t="shared" si="27"/>
        <v>2023</v>
      </c>
    </row>
    <row r="856" spans="1:7" x14ac:dyDescent="0.25">
      <c r="A856" t="s">
        <v>5</v>
      </c>
      <c r="B856" t="s">
        <v>10</v>
      </c>
      <c r="C856">
        <v>103.39</v>
      </c>
      <c r="D856">
        <v>106.4256</v>
      </c>
      <c r="E856" s="1">
        <v>45108</v>
      </c>
      <c r="F856">
        <f t="shared" si="26"/>
        <v>7</v>
      </c>
      <c r="G856">
        <f t="shared" si="27"/>
        <v>2023</v>
      </c>
    </row>
    <row r="857" spans="1:7" x14ac:dyDescent="0.25">
      <c r="A857" t="s">
        <v>5</v>
      </c>
      <c r="B857" t="s">
        <v>10</v>
      </c>
      <c r="C857">
        <v>100.99</v>
      </c>
      <c r="D857">
        <v>107.88431</v>
      </c>
      <c r="E857" s="1">
        <v>45139</v>
      </c>
      <c r="F857">
        <f t="shared" si="26"/>
        <v>8</v>
      </c>
      <c r="G857">
        <f t="shared" si="27"/>
        <v>2023</v>
      </c>
    </row>
    <row r="858" spans="1:7" x14ac:dyDescent="0.25">
      <c r="A858" t="s">
        <v>5</v>
      </c>
      <c r="B858" t="s">
        <v>10</v>
      </c>
      <c r="C858">
        <v>100.66</v>
      </c>
      <c r="D858">
        <v>102.97417</v>
      </c>
      <c r="E858" s="1">
        <v>45170</v>
      </c>
      <c r="F858">
        <f t="shared" si="26"/>
        <v>9</v>
      </c>
      <c r="G858">
        <f t="shared" si="27"/>
        <v>2023</v>
      </c>
    </row>
    <row r="859" spans="1:7" x14ac:dyDescent="0.25">
      <c r="A859" t="s">
        <v>5</v>
      </c>
      <c r="B859" t="s">
        <v>10</v>
      </c>
      <c r="C859">
        <v>99.82</v>
      </c>
      <c r="D859">
        <v>100.70574999999999</v>
      </c>
      <c r="E859" s="1">
        <v>45200</v>
      </c>
      <c r="F859">
        <f t="shared" si="26"/>
        <v>10</v>
      </c>
      <c r="G859">
        <f t="shared" si="27"/>
        <v>2023</v>
      </c>
    </row>
    <row r="860" spans="1:7" x14ac:dyDescent="0.25">
      <c r="A860" t="s">
        <v>5</v>
      </c>
      <c r="B860" t="s">
        <v>10</v>
      </c>
      <c r="C860">
        <v>98.85</v>
      </c>
      <c r="D860">
        <v>98.421620000000004</v>
      </c>
      <c r="E860" s="1">
        <v>45231</v>
      </c>
      <c r="F860">
        <f t="shared" si="26"/>
        <v>11</v>
      </c>
      <c r="G860">
        <f t="shared" si="27"/>
        <v>2023</v>
      </c>
    </row>
    <row r="861" spans="1:7" x14ac:dyDescent="0.25">
      <c r="A861" t="s">
        <v>5</v>
      </c>
      <c r="B861" t="s">
        <v>10</v>
      </c>
      <c r="C861">
        <v>98.96</v>
      </c>
      <c r="D861">
        <v>99.862710000000007</v>
      </c>
      <c r="E861" s="1">
        <v>45261</v>
      </c>
      <c r="F861">
        <f t="shared" si="26"/>
        <v>12</v>
      </c>
      <c r="G861">
        <f t="shared" si="27"/>
        <v>2023</v>
      </c>
    </row>
    <row r="862" spans="1:7" x14ac:dyDescent="0.25">
      <c r="A862" t="s">
        <v>5</v>
      </c>
      <c r="B862" t="s">
        <v>10</v>
      </c>
      <c r="C862">
        <v>100.99</v>
      </c>
      <c r="D862">
        <v>95.927400000000006</v>
      </c>
      <c r="E862" s="1">
        <v>45292</v>
      </c>
      <c r="F862">
        <f t="shared" si="26"/>
        <v>1</v>
      </c>
      <c r="G862">
        <f t="shared" si="27"/>
        <v>2024</v>
      </c>
    </row>
    <row r="863" spans="1:7" x14ac:dyDescent="0.25">
      <c r="A863" t="s">
        <v>5</v>
      </c>
      <c r="B863" t="s">
        <v>10</v>
      </c>
      <c r="C863">
        <v>99.16</v>
      </c>
      <c r="D863">
        <v>91.976389999999995</v>
      </c>
      <c r="E863" s="1">
        <v>45323</v>
      </c>
      <c r="F863">
        <f t="shared" si="26"/>
        <v>2</v>
      </c>
      <c r="G863">
        <f t="shared" si="27"/>
        <v>2024</v>
      </c>
    </row>
    <row r="864" spans="1:7" x14ac:dyDescent="0.25">
      <c r="A864" t="s">
        <v>5</v>
      </c>
      <c r="B864" t="s">
        <v>10</v>
      </c>
      <c r="C864">
        <v>99.2</v>
      </c>
      <c r="D864">
        <v>97.708960000000005</v>
      </c>
      <c r="E864" s="1">
        <v>45352</v>
      </c>
      <c r="F864">
        <f t="shared" si="26"/>
        <v>3</v>
      </c>
      <c r="G864">
        <f t="shared" si="27"/>
        <v>2024</v>
      </c>
    </row>
    <row r="865" spans="1:7" x14ac:dyDescent="0.25">
      <c r="A865" t="s">
        <v>5</v>
      </c>
      <c r="B865" t="s">
        <v>10</v>
      </c>
      <c r="C865">
        <v>100.66</v>
      </c>
      <c r="D865">
        <v>99.414860000000004</v>
      </c>
      <c r="E865" s="1">
        <v>45383</v>
      </c>
      <c r="F865">
        <f t="shared" si="26"/>
        <v>4</v>
      </c>
      <c r="G865">
        <f t="shared" si="27"/>
        <v>2024</v>
      </c>
    </row>
    <row r="866" spans="1:7" x14ac:dyDescent="0.25">
      <c r="A866" t="s">
        <v>5</v>
      </c>
      <c r="B866" t="s">
        <v>10</v>
      </c>
      <c r="C866">
        <v>99.18</v>
      </c>
      <c r="D866">
        <v>101.35223000000001</v>
      </c>
      <c r="E866" s="1">
        <v>45413</v>
      </c>
      <c r="F866">
        <f t="shared" si="26"/>
        <v>5</v>
      </c>
      <c r="G866">
        <f t="shared" si="27"/>
        <v>2024</v>
      </c>
    </row>
    <row r="867" spans="1:7" x14ac:dyDescent="0.25">
      <c r="A867" t="s">
        <v>5</v>
      </c>
      <c r="B867" t="s">
        <v>10</v>
      </c>
      <c r="C867">
        <v>100.59</v>
      </c>
      <c r="D867">
        <v>101.04324</v>
      </c>
      <c r="E867" s="1">
        <v>45444</v>
      </c>
      <c r="F867">
        <f t="shared" si="26"/>
        <v>6</v>
      </c>
      <c r="G867">
        <f t="shared" si="27"/>
        <v>2024</v>
      </c>
    </row>
    <row r="868" spans="1:7" x14ac:dyDescent="0.25">
      <c r="A868" t="s">
        <v>5</v>
      </c>
      <c r="B868" t="s">
        <v>10</v>
      </c>
      <c r="C868">
        <v>99.3</v>
      </c>
      <c r="D868">
        <v>104.72772999999999</v>
      </c>
      <c r="E868" s="1">
        <v>45474</v>
      </c>
      <c r="F868">
        <f t="shared" si="26"/>
        <v>7</v>
      </c>
      <c r="G868">
        <f t="shared" si="27"/>
        <v>2024</v>
      </c>
    </row>
    <row r="869" spans="1:7" x14ac:dyDescent="0.25">
      <c r="A869" t="s">
        <v>5</v>
      </c>
      <c r="B869" t="s">
        <v>10</v>
      </c>
      <c r="C869">
        <v>99.31</v>
      </c>
      <c r="D869">
        <v>105.06892999999999</v>
      </c>
      <c r="E869" s="1">
        <v>45505</v>
      </c>
      <c r="F869">
        <f t="shared" si="26"/>
        <v>8</v>
      </c>
      <c r="G869">
        <f t="shared" si="27"/>
        <v>2024</v>
      </c>
    </row>
    <row r="870" spans="1:7" x14ac:dyDescent="0.25">
      <c r="A870" t="s">
        <v>5</v>
      </c>
      <c r="B870" t="s">
        <v>10</v>
      </c>
      <c r="C870">
        <v>101.04</v>
      </c>
      <c r="D870">
        <v>102.21120999999999</v>
      </c>
      <c r="E870" s="1">
        <v>45536</v>
      </c>
      <c r="F870">
        <f t="shared" si="26"/>
        <v>9</v>
      </c>
      <c r="G870">
        <f t="shared" si="27"/>
        <v>2024</v>
      </c>
    </row>
    <row r="871" spans="1:7" x14ac:dyDescent="0.25">
      <c r="A871" t="s">
        <v>5</v>
      </c>
      <c r="B871" t="s">
        <v>10</v>
      </c>
      <c r="C871">
        <v>104.9</v>
      </c>
      <c r="D871">
        <v>107.76057</v>
      </c>
      <c r="E871" s="1">
        <v>45566</v>
      </c>
      <c r="F871">
        <f t="shared" si="26"/>
        <v>10</v>
      </c>
      <c r="G871">
        <f t="shared" si="27"/>
        <v>2024</v>
      </c>
    </row>
    <row r="872" spans="1:7" x14ac:dyDescent="0.25">
      <c r="A872" t="s">
        <v>5</v>
      </c>
      <c r="B872" t="s">
        <v>10</v>
      </c>
      <c r="C872">
        <v>101.31</v>
      </c>
      <c r="D872">
        <v>100.13418</v>
      </c>
      <c r="E872" s="1">
        <v>45597</v>
      </c>
      <c r="F872">
        <f t="shared" si="26"/>
        <v>11</v>
      </c>
      <c r="G872">
        <f t="shared" si="27"/>
        <v>2024</v>
      </c>
    </row>
    <row r="873" spans="1:7" x14ac:dyDescent="0.25">
      <c r="A873" t="s">
        <v>5</v>
      </c>
      <c r="B873" t="s">
        <v>10</v>
      </c>
      <c r="C873">
        <v>101.73</v>
      </c>
      <c r="D873">
        <v>103.17937000000001</v>
      </c>
      <c r="E873" s="1">
        <v>45627</v>
      </c>
      <c r="F873">
        <f t="shared" si="26"/>
        <v>12</v>
      </c>
      <c r="G873">
        <f t="shared" si="27"/>
        <v>2024</v>
      </c>
    </row>
    <row r="874" spans="1:7" x14ac:dyDescent="0.25">
      <c r="A874" t="s">
        <v>5</v>
      </c>
      <c r="B874" t="s">
        <v>10</v>
      </c>
      <c r="C874">
        <v>100.56</v>
      </c>
      <c r="D874">
        <v>95.242199999999997</v>
      </c>
      <c r="E874" s="1">
        <v>45658</v>
      </c>
      <c r="F874">
        <f t="shared" si="26"/>
        <v>1</v>
      </c>
      <c r="G874">
        <f t="shared" si="27"/>
        <v>2025</v>
      </c>
    </row>
    <row r="875" spans="1:7" x14ac:dyDescent="0.25">
      <c r="A875" t="s">
        <v>5</v>
      </c>
      <c r="B875" t="s">
        <v>10</v>
      </c>
      <c r="C875">
        <v>101.43</v>
      </c>
      <c r="D875">
        <v>94.312089999999998</v>
      </c>
      <c r="E875" s="1">
        <v>45689</v>
      </c>
      <c r="F875">
        <f t="shared" si="26"/>
        <v>2</v>
      </c>
      <c r="G875">
        <f t="shared" si="27"/>
        <v>2025</v>
      </c>
    </row>
    <row r="876" spans="1:7" x14ac:dyDescent="0.25">
      <c r="A876" t="s">
        <v>5</v>
      </c>
      <c r="B876" t="s">
        <v>10</v>
      </c>
      <c r="C876">
        <v>102.61</v>
      </c>
      <c r="D876">
        <v>98.890460000000004</v>
      </c>
      <c r="E876" s="1">
        <v>45717</v>
      </c>
      <c r="F876">
        <f t="shared" si="26"/>
        <v>3</v>
      </c>
      <c r="G876">
        <f t="shared" si="27"/>
        <v>2025</v>
      </c>
    </row>
    <row r="877" spans="1:7" x14ac:dyDescent="0.25">
      <c r="A877" t="s">
        <v>5</v>
      </c>
      <c r="B877" t="s">
        <v>10</v>
      </c>
      <c r="C877">
        <v>103.21</v>
      </c>
      <c r="D877">
        <v>100.48217</v>
      </c>
      <c r="E877" s="1">
        <v>45748</v>
      </c>
      <c r="F877">
        <f t="shared" si="26"/>
        <v>4</v>
      </c>
      <c r="G877">
        <f t="shared" si="27"/>
        <v>2025</v>
      </c>
    </row>
    <row r="878" spans="1:7" x14ac:dyDescent="0.25">
      <c r="A878" t="s">
        <v>5</v>
      </c>
      <c r="B878" t="s">
        <v>10</v>
      </c>
      <c r="C878">
        <v>102.87</v>
      </c>
      <c r="D878">
        <v>105.05695</v>
      </c>
      <c r="E878" s="1">
        <v>45778</v>
      </c>
      <c r="F878">
        <f t="shared" si="26"/>
        <v>5</v>
      </c>
      <c r="G878">
        <f t="shared" si="27"/>
        <v>2025</v>
      </c>
    </row>
    <row r="879" spans="1:7" x14ac:dyDescent="0.25">
      <c r="A879" t="s">
        <v>5</v>
      </c>
      <c r="B879" t="s">
        <v>10</v>
      </c>
      <c r="C879">
        <v>104.29</v>
      </c>
      <c r="D879">
        <v>104.56505</v>
      </c>
      <c r="E879" s="1">
        <v>45809</v>
      </c>
      <c r="F879">
        <f t="shared" si="26"/>
        <v>6</v>
      </c>
      <c r="G879">
        <f t="shared" si="27"/>
        <v>2025</v>
      </c>
    </row>
    <row r="880" spans="1:7" x14ac:dyDescent="0.25">
      <c r="A880" t="s">
        <v>5</v>
      </c>
      <c r="B880" t="s">
        <v>10</v>
      </c>
      <c r="C880">
        <v>103.59</v>
      </c>
      <c r="D880">
        <v>109.27217</v>
      </c>
      <c r="E880" s="1">
        <v>45839</v>
      </c>
      <c r="F880">
        <f t="shared" si="26"/>
        <v>7</v>
      </c>
      <c r="G880">
        <f t="shared" si="27"/>
        <v>2025</v>
      </c>
    </row>
    <row r="881" spans="1:7" x14ac:dyDescent="0.25">
      <c r="A881" t="s">
        <v>5</v>
      </c>
      <c r="B881" t="s">
        <v>10</v>
      </c>
      <c r="C881">
        <v>104.15</v>
      </c>
      <c r="D881">
        <v>108.52016</v>
      </c>
      <c r="E881" s="1">
        <v>45870</v>
      </c>
      <c r="F881">
        <f t="shared" si="26"/>
        <v>8</v>
      </c>
      <c r="G881">
        <f t="shared" si="27"/>
        <v>2025</v>
      </c>
    </row>
    <row r="882" spans="1:7" x14ac:dyDescent="0.25">
      <c r="A882" t="s">
        <v>5</v>
      </c>
      <c r="B882" t="s">
        <v>11</v>
      </c>
      <c r="C882">
        <v>109.58</v>
      </c>
      <c r="D882">
        <v>105.95484</v>
      </c>
      <c r="E882" s="1">
        <v>40544</v>
      </c>
      <c r="F882">
        <f t="shared" si="26"/>
        <v>1</v>
      </c>
      <c r="G882">
        <f t="shared" si="27"/>
        <v>2011</v>
      </c>
    </row>
    <row r="883" spans="1:7" x14ac:dyDescent="0.25">
      <c r="A883" t="s">
        <v>5</v>
      </c>
      <c r="B883" t="s">
        <v>11</v>
      </c>
      <c r="C883">
        <v>108.62</v>
      </c>
      <c r="D883">
        <v>105.51536</v>
      </c>
      <c r="E883" s="1">
        <v>40575</v>
      </c>
      <c r="F883">
        <f t="shared" si="26"/>
        <v>2</v>
      </c>
      <c r="G883">
        <f t="shared" si="27"/>
        <v>2011</v>
      </c>
    </row>
    <row r="884" spans="1:7" x14ac:dyDescent="0.25">
      <c r="A884" t="s">
        <v>5</v>
      </c>
      <c r="B884" t="s">
        <v>11</v>
      </c>
      <c r="C884">
        <v>109.89</v>
      </c>
      <c r="D884">
        <v>107.93602</v>
      </c>
      <c r="E884" s="1">
        <v>40603</v>
      </c>
      <c r="F884">
        <f t="shared" si="26"/>
        <v>3</v>
      </c>
      <c r="G884">
        <f t="shared" si="27"/>
        <v>2011</v>
      </c>
    </row>
    <row r="885" spans="1:7" x14ac:dyDescent="0.25">
      <c r="A885" t="s">
        <v>5</v>
      </c>
      <c r="B885" t="s">
        <v>11</v>
      </c>
      <c r="C885">
        <v>107.8</v>
      </c>
      <c r="D885">
        <v>105.83538</v>
      </c>
      <c r="E885" s="1">
        <v>40634</v>
      </c>
      <c r="F885">
        <f t="shared" si="26"/>
        <v>4</v>
      </c>
      <c r="G885">
        <f t="shared" si="27"/>
        <v>2011</v>
      </c>
    </row>
    <row r="886" spans="1:7" x14ac:dyDescent="0.25">
      <c r="A886" t="s">
        <v>5</v>
      </c>
      <c r="B886" t="s">
        <v>11</v>
      </c>
      <c r="C886">
        <v>110.89</v>
      </c>
      <c r="D886">
        <v>112.23802000000001</v>
      </c>
      <c r="E886" s="1">
        <v>40664</v>
      </c>
      <c r="F886">
        <f t="shared" si="26"/>
        <v>5</v>
      </c>
      <c r="G886">
        <f t="shared" si="27"/>
        <v>2011</v>
      </c>
    </row>
    <row r="887" spans="1:7" x14ac:dyDescent="0.25">
      <c r="A887" t="s">
        <v>5</v>
      </c>
      <c r="B887" t="s">
        <v>11</v>
      </c>
      <c r="C887">
        <v>108.98</v>
      </c>
      <c r="D887">
        <v>108.19001</v>
      </c>
      <c r="E887" s="1">
        <v>40695</v>
      </c>
      <c r="F887">
        <f t="shared" si="26"/>
        <v>6</v>
      </c>
      <c r="G887">
        <f t="shared" si="27"/>
        <v>2011</v>
      </c>
    </row>
    <row r="888" spans="1:7" x14ac:dyDescent="0.25">
      <c r="A888" t="s">
        <v>5</v>
      </c>
      <c r="B888" t="s">
        <v>11</v>
      </c>
      <c r="C888">
        <v>110.38</v>
      </c>
      <c r="D888">
        <v>108.01366</v>
      </c>
      <c r="E888" s="1">
        <v>40725</v>
      </c>
      <c r="F888">
        <f t="shared" si="26"/>
        <v>7</v>
      </c>
      <c r="G888">
        <f t="shared" si="27"/>
        <v>2011</v>
      </c>
    </row>
    <row r="889" spans="1:7" x14ac:dyDescent="0.25">
      <c r="A889" t="s">
        <v>5</v>
      </c>
      <c r="B889" t="s">
        <v>11</v>
      </c>
      <c r="C889">
        <v>110.32</v>
      </c>
      <c r="D889">
        <v>113.28489999999999</v>
      </c>
      <c r="E889" s="1">
        <v>40756</v>
      </c>
      <c r="F889">
        <f t="shared" si="26"/>
        <v>8</v>
      </c>
      <c r="G889">
        <f t="shared" si="27"/>
        <v>2011</v>
      </c>
    </row>
    <row r="890" spans="1:7" x14ac:dyDescent="0.25">
      <c r="A890" t="s">
        <v>5</v>
      </c>
      <c r="B890" t="s">
        <v>11</v>
      </c>
      <c r="C890">
        <v>106.36</v>
      </c>
      <c r="D890">
        <v>107.17610000000001</v>
      </c>
      <c r="E890" s="1">
        <v>40787</v>
      </c>
      <c r="F890">
        <f t="shared" si="26"/>
        <v>9</v>
      </c>
      <c r="G890">
        <f t="shared" si="27"/>
        <v>2011</v>
      </c>
    </row>
    <row r="891" spans="1:7" x14ac:dyDescent="0.25">
      <c r="A891" t="s">
        <v>5</v>
      </c>
      <c r="B891" t="s">
        <v>11</v>
      </c>
      <c r="C891">
        <v>106.62</v>
      </c>
      <c r="D891">
        <v>105.35592</v>
      </c>
      <c r="E891" s="1">
        <v>40817</v>
      </c>
      <c r="F891">
        <f t="shared" si="26"/>
        <v>10</v>
      </c>
      <c r="G891">
        <f t="shared" si="27"/>
        <v>2011</v>
      </c>
    </row>
    <row r="892" spans="1:7" x14ac:dyDescent="0.25">
      <c r="A892" t="s">
        <v>5</v>
      </c>
      <c r="B892" t="s">
        <v>11</v>
      </c>
      <c r="C892">
        <v>106.89</v>
      </c>
      <c r="D892">
        <v>105.20918</v>
      </c>
      <c r="E892" s="1">
        <v>40848</v>
      </c>
      <c r="F892">
        <f t="shared" si="26"/>
        <v>11</v>
      </c>
      <c r="G892">
        <f t="shared" si="27"/>
        <v>2011</v>
      </c>
    </row>
    <row r="893" spans="1:7" x14ac:dyDescent="0.25">
      <c r="A893" t="s">
        <v>5</v>
      </c>
      <c r="B893" t="s">
        <v>11</v>
      </c>
      <c r="C893">
        <v>106.41</v>
      </c>
      <c r="D893">
        <v>116.20593</v>
      </c>
      <c r="E893" s="1">
        <v>40878</v>
      </c>
      <c r="F893">
        <f t="shared" si="26"/>
        <v>12</v>
      </c>
      <c r="G893">
        <f t="shared" si="27"/>
        <v>2011</v>
      </c>
    </row>
    <row r="894" spans="1:7" x14ac:dyDescent="0.25">
      <c r="A894" t="s">
        <v>5</v>
      </c>
      <c r="B894" t="s">
        <v>11</v>
      </c>
      <c r="C894">
        <v>113.16</v>
      </c>
      <c r="D894">
        <v>110.64773</v>
      </c>
      <c r="E894" s="1">
        <v>40909</v>
      </c>
      <c r="F894">
        <f t="shared" si="26"/>
        <v>1</v>
      </c>
      <c r="G894">
        <f t="shared" si="27"/>
        <v>2012</v>
      </c>
    </row>
    <row r="895" spans="1:7" x14ac:dyDescent="0.25">
      <c r="A895" t="s">
        <v>5</v>
      </c>
      <c r="B895" t="s">
        <v>11</v>
      </c>
      <c r="C895">
        <v>107.75</v>
      </c>
      <c r="D895">
        <v>104.71664</v>
      </c>
      <c r="E895" s="1">
        <v>40940</v>
      </c>
      <c r="F895">
        <f t="shared" si="26"/>
        <v>2</v>
      </c>
      <c r="G895">
        <f t="shared" si="27"/>
        <v>2012</v>
      </c>
    </row>
    <row r="896" spans="1:7" x14ac:dyDescent="0.25">
      <c r="A896" t="s">
        <v>5</v>
      </c>
      <c r="B896" t="s">
        <v>11</v>
      </c>
      <c r="C896">
        <v>109.87</v>
      </c>
      <c r="D896">
        <v>110.35917000000001</v>
      </c>
      <c r="E896" s="1">
        <v>40969</v>
      </c>
      <c r="F896">
        <f t="shared" si="26"/>
        <v>3</v>
      </c>
      <c r="G896">
        <f t="shared" si="27"/>
        <v>2012</v>
      </c>
    </row>
    <row r="897" spans="1:7" x14ac:dyDescent="0.25">
      <c r="A897" t="s">
        <v>5</v>
      </c>
      <c r="B897" t="s">
        <v>11</v>
      </c>
      <c r="C897">
        <v>108.77</v>
      </c>
      <c r="D897">
        <v>106.90689999999999</v>
      </c>
      <c r="E897" s="1">
        <v>41000</v>
      </c>
      <c r="F897">
        <f t="shared" si="26"/>
        <v>4</v>
      </c>
      <c r="G897">
        <f t="shared" si="27"/>
        <v>2012</v>
      </c>
    </row>
    <row r="898" spans="1:7" x14ac:dyDescent="0.25">
      <c r="A898" t="s">
        <v>5</v>
      </c>
      <c r="B898" t="s">
        <v>11</v>
      </c>
      <c r="C898">
        <v>110.08</v>
      </c>
      <c r="D898">
        <v>112.79971</v>
      </c>
      <c r="E898" s="1">
        <v>41030</v>
      </c>
      <c r="F898">
        <f t="shared" ref="F898:F961" si="28">MONTH(E898)</f>
        <v>5</v>
      </c>
      <c r="G898">
        <f t="shared" ref="G898:G961" si="29">YEAR(E898)</f>
        <v>2012</v>
      </c>
    </row>
    <row r="899" spans="1:7" x14ac:dyDescent="0.25">
      <c r="A899" t="s">
        <v>5</v>
      </c>
      <c r="B899" t="s">
        <v>11</v>
      </c>
      <c r="C899">
        <v>110.22</v>
      </c>
      <c r="D899">
        <v>107.90127</v>
      </c>
      <c r="E899" s="1">
        <v>41061</v>
      </c>
      <c r="F899">
        <f t="shared" si="28"/>
        <v>6</v>
      </c>
      <c r="G899">
        <f t="shared" si="29"/>
        <v>2012</v>
      </c>
    </row>
    <row r="900" spans="1:7" x14ac:dyDescent="0.25">
      <c r="A900" t="s">
        <v>5</v>
      </c>
      <c r="B900" t="s">
        <v>11</v>
      </c>
      <c r="C900">
        <v>111.66</v>
      </c>
      <c r="D900">
        <v>110.18733</v>
      </c>
      <c r="E900" s="1">
        <v>41091</v>
      </c>
      <c r="F900">
        <f t="shared" si="28"/>
        <v>7</v>
      </c>
      <c r="G900">
        <f t="shared" si="29"/>
        <v>2012</v>
      </c>
    </row>
    <row r="901" spans="1:7" x14ac:dyDescent="0.25">
      <c r="A901" t="s">
        <v>5</v>
      </c>
      <c r="B901" t="s">
        <v>11</v>
      </c>
      <c r="C901">
        <v>107.21</v>
      </c>
      <c r="D901">
        <v>109.86085</v>
      </c>
      <c r="E901" s="1">
        <v>41122</v>
      </c>
      <c r="F901">
        <f t="shared" si="28"/>
        <v>8</v>
      </c>
      <c r="G901">
        <f t="shared" si="29"/>
        <v>2012</v>
      </c>
    </row>
    <row r="902" spans="1:7" x14ac:dyDescent="0.25">
      <c r="A902" t="s">
        <v>5</v>
      </c>
      <c r="B902" t="s">
        <v>11</v>
      </c>
      <c r="C902">
        <v>108.47</v>
      </c>
      <c r="D902">
        <v>107.68734000000001</v>
      </c>
      <c r="E902" s="1">
        <v>41153</v>
      </c>
      <c r="F902">
        <f t="shared" si="28"/>
        <v>9</v>
      </c>
      <c r="G902">
        <f t="shared" si="29"/>
        <v>2012</v>
      </c>
    </row>
    <row r="903" spans="1:7" x14ac:dyDescent="0.25">
      <c r="A903" t="s">
        <v>5</v>
      </c>
      <c r="B903" t="s">
        <v>11</v>
      </c>
      <c r="C903">
        <v>105.71</v>
      </c>
      <c r="D903">
        <v>107.52204</v>
      </c>
      <c r="E903" s="1">
        <v>41183</v>
      </c>
      <c r="F903">
        <f t="shared" si="28"/>
        <v>10</v>
      </c>
      <c r="G903">
        <f t="shared" si="29"/>
        <v>2012</v>
      </c>
    </row>
    <row r="904" spans="1:7" x14ac:dyDescent="0.25">
      <c r="A904" t="s">
        <v>5</v>
      </c>
      <c r="B904" t="s">
        <v>11</v>
      </c>
      <c r="C904">
        <v>104.67</v>
      </c>
      <c r="D904">
        <v>102.44880999999999</v>
      </c>
      <c r="E904" s="1">
        <v>41214</v>
      </c>
      <c r="F904">
        <f t="shared" si="28"/>
        <v>11</v>
      </c>
      <c r="G904">
        <f t="shared" si="29"/>
        <v>2012</v>
      </c>
    </row>
    <row r="905" spans="1:7" x14ac:dyDescent="0.25">
      <c r="A905" t="s">
        <v>5</v>
      </c>
      <c r="B905" t="s">
        <v>11</v>
      </c>
      <c r="C905">
        <v>109.35</v>
      </c>
      <c r="D905">
        <v>118.41284</v>
      </c>
      <c r="E905" s="1">
        <v>41244</v>
      </c>
      <c r="F905">
        <f t="shared" si="28"/>
        <v>12</v>
      </c>
      <c r="G905">
        <f t="shared" si="29"/>
        <v>2012</v>
      </c>
    </row>
    <row r="906" spans="1:7" x14ac:dyDescent="0.25">
      <c r="A906" t="s">
        <v>5</v>
      </c>
      <c r="B906" t="s">
        <v>11</v>
      </c>
      <c r="C906">
        <v>107.11</v>
      </c>
      <c r="D906">
        <v>105.89988</v>
      </c>
      <c r="E906" s="1">
        <v>41275</v>
      </c>
      <c r="F906">
        <f t="shared" si="28"/>
        <v>1</v>
      </c>
      <c r="G906">
        <f t="shared" si="29"/>
        <v>2013</v>
      </c>
    </row>
    <row r="907" spans="1:7" x14ac:dyDescent="0.25">
      <c r="A907" t="s">
        <v>5</v>
      </c>
      <c r="B907" t="s">
        <v>11</v>
      </c>
      <c r="C907">
        <v>109.08</v>
      </c>
      <c r="D907">
        <v>101.54591000000001</v>
      </c>
      <c r="E907" s="1">
        <v>41306</v>
      </c>
      <c r="F907">
        <f t="shared" si="28"/>
        <v>2</v>
      </c>
      <c r="G907">
        <f t="shared" si="29"/>
        <v>2013</v>
      </c>
    </row>
    <row r="908" spans="1:7" x14ac:dyDescent="0.25">
      <c r="A908" t="s">
        <v>5</v>
      </c>
      <c r="B908" t="s">
        <v>11</v>
      </c>
      <c r="C908">
        <v>106.78</v>
      </c>
      <c r="D908">
        <v>105.16621000000001</v>
      </c>
      <c r="E908" s="1">
        <v>41334</v>
      </c>
      <c r="F908">
        <f t="shared" si="28"/>
        <v>3</v>
      </c>
      <c r="G908">
        <f t="shared" si="29"/>
        <v>2013</v>
      </c>
    </row>
    <row r="909" spans="1:7" x14ac:dyDescent="0.25">
      <c r="A909" t="s">
        <v>5</v>
      </c>
      <c r="B909" t="s">
        <v>11</v>
      </c>
      <c r="C909">
        <v>106.1</v>
      </c>
      <c r="D909">
        <v>106.81605999999999</v>
      </c>
      <c r="E909" s="1">
        <v>41365</v>
      </c>
      <c r="F909">
        <f t="shared" si="28"/>
        <v>4</v>
      </c>
      <c r="G909">
        <f t="shared" si="29"/>
        <v>2013</v>
      </c>
    </row>
    <row r="910" spans="1:7" x14ac:dyDescent="0.25">
      <c r="A910" t="s">
        <v>5</v>
      </c>
      <c r="B910" t="s">
        <v>11</v>
      </c>
      <c r="C910">
        <v>105.76</v>
      </c>
      <c r="D910">
        <v>106.80919</v>
      </c>
      <c r="E910" s="1">
        <v>41395</v>
      </c>
      <c r="F910">
        <f t="shared" si="28"/>
        <v>5</v>
      </c>
      <c r="G910">
        <f t="shared" si="29"/>
        <v>2013</v>
      </c>
    </row>
    <row r="911" spans="1:7" x14ac:dyDescent="0.25">
      <c r="A911" t="s">
        <v>5</v>
      </c>
      <c r="B911" t="s">
        <v>11</v>
      </c>
      <c r="C911">
        <v>112.85</v>
      </c>
      <c r="D911">
        <v>110.30513999999999</v>
      </c>
      <c r="E911" s="1">
        <v>41426</v>
      </c>
      <c r="F911">
        <f t="shared" si="28"/>
        <v>6</v>
      </c>
      <c r="G911">
        <f t="shared" si="29"/>
        <v>2013</v>
      </c>
    </row>
    <row r="912" spans="1:7" x14ac:dyDescent="0.25">
      <c r="A912" t="s">
        <v>5</v>
      </c>
      <c r="B912" t="s">
        <v>11</v>
      </c>
      <c r="C912">
        <v>103.68</v>
      </c>
      <c r="D912">
        <v>103.47714999999999</v>
      </c>
      <c r="E912" s="1">
        <v>41456</v>
      </c>
      <c r="F912">
        <f t="shared" si="28"/>
        <v>7</v>
      </c>
      <c r="G912">
        <f t="shared" si="29"/>
        <v>2013</v>
      </c>
    </row>
    <row r="913" spans="1:7" x14ac:dyDescent="0.25">
      <c r="A913" t="s">
        <v>5</v>
      </c>
      <c r="B913" t="s">
        <v>11</v>
      </c>
      <c r="C913">
        <v>104.28</v>
      </c>
      <c r="D913">
        <v>105.15303</v>
      </c>
      <c r="E913" s="1">
        <v>41487</v>
      </c>
      <c r="F913">
        <f t="shared" si="28"/>
        <v>8</v>
      </c>
      <c r="G913">
        <f t="shared" si="29"/>
        <v>2013</v>
      </c>
    </row>
    <row r="914" spans="1:7" x14ac:dyDescent="0.25">
      <c r="A914" t="s">
        <v>5</v>
      </c>
      <c r="B914" t="s">
        <v>11</v>
      </c>
      <c r="C914">
        <v>106.02</v>
      </c>
      <c r="D914">
        <v>106.20072</v>
      </c>
      <c r="E914" s="1">
        <v>41518</v>
      </c>
      <c r="F914">
        <f t="shared" si="28"/>
        <v>9</v>
      </c>
      <c r="G914">
        <f t="shared" si="29"/>
        <v>2013</v>
      </c>
    </row>
    <row r="915" spans="1:7" x14ac:dyDescent="0.25">
      <c r="A915" t="s">
        <v>5</v>
      </c>
      <c r="B915" t="s">
        <v>11</v>
      </c>
      <c r="C915">
        <v>106.16</v>
      </c>
      <c r="D915">
        <v>108.57848</v>
      </c>
      <c r="E915" s="1">
        <v>41548</v>
      </c>
      <c r="F915">
        <f t="shared" si="28"/>
        <v>10</v>
      </c>
      <c r="G915">
        <f t="shared" si="29"/>
        <v>2013</v>
      </c>
    </row>
    <row r="916" spans="1:7" x14ac:dyDescent="0.25">
      <c r="A916" t="s">
        <v>5</v>
      </c>
      <c r="B916" t="s">
        <v>11</v>
      </c>
      <c r="C916">
        <v>105.28</v>
      </c>
      <c r="D916">
        <v>103.0262</v>
      </c>
      <c r="E916" s="1">
        <v>41579</v>
      </c>
      <c r="F916">
        <f t="shared" si="28"/>
        <v>11</v>
      </c>
      <c r="G916">
        <f t="shared" si="29"/>
        <v>2013</v>
      </c>
    </row>
    <row r="917" spans="1:7" x14ac:dyDescent="0.25">
      <c r="A917" t="s">
        <v>5</v>
      </c>
      <c r="B917" t="s">
        <v>11</v>
      </c>
      <c r="C917">
        <v>105.57</v>
      </c>
      <c r="D917">
        <v>115.9367</v>
      </c>
      <c r="E917" s="1">
        <v>41609</v>
      </c>
      <c r="F917">
        <f t="shared" si="28"/>
        <v>12</v>
      </c>
      <c r="G917">
        <f t="shared" si="29"/>
        <v>2013</v>
      </c>
    </row>
    <row r="918" spans="1:7" x14ac:dyDescent="0.25">
      <c r="A918" t="s">
        <v>5</v>
      </c>
      <c r="B918" t="s">
        <v>11</v>
      </c>
      <c r="C918">
        <v>106.48</v>
      </c>
      <c r="D918">
        <v>104.45001000000001</v>
      </c>
      <c r="E918" s="1">
        <v>41640</v>
      </c>
      <c r="F918">
        <f t="shared" si="28"/>
        <v>1</v>
      </c>
      <c r="G918">
        <f t="shared" si="29"/>
        <v>2014</v>
      </c>
    </row>
    <row r="919" spans="1:7" x14ac:dyDescent="0.25">
      <c r="A919" t="s">
        <v>5</v>
      </c>
      <c r="B919" t="s">
        <v>11</v>
      </c>
      <c r="C919">
        <v>104.08</v>
      </c>
      <c r="D919">
        <v>99.91234</v>
      </c>
      <c r="E919" s="1">
        <v>41671</v>
      </c>
      <c r="F919">
        <f t="shared" si="28"/>
        <v>2</v>
      </c>
      <c r="G919">
        <f t="shared" si="29"/>
        <v>2014</v>
      </c>
    </row>
    <row r="920" spans="1:7" x14ac:dyDescent="0.25">
      <c r="A920" t="s">
        <v>5</v>
      </c>
      <c r="B920" t="s">
        <v>11</v>
      </c>
      <c r="C920">
        <v>104</v>
      </c>
      <c r="D920">
        <v>99.743080000000006</v>
      </c>
      <c r="E920" s="1">
        <v>41699</v>
      </c>
      <c r="F920">
        <f t="shared" si="28"/>
        <v>3</v>
      </c>
      <c r="G920">
        <f t="shared" si="29"/>
        <v>2014</v>
      </c>
    </row>
    <row r="921" spans="1:7" x14ac:dyDescent="0.25">
      <c r="A921" t="s">
        <v>5</v>
      </c>
      <c r="B921" t="s">
        <v>11</v>
      </c>
      <c r="C921">
        <v>107.13</v>
      </c>
      <c r="D921">
        <v>107.55127</v>
      </c>
      <c r="E921" s="1">
        <v>41730</v>
      </c>
      <c r="F921">
        <f t="shared" si="28"/>
        <v>4</v>
      </c>
      <c r="G921">
        <f t="shared" si="29"/>
        <v>2014</v>
      </c>
    </row>
    <row r="922" spans="1:7" x14ac:dyDescent="0.25">
      <c r="A922" t="s">
        <v>5</v>
      </c>
      <c r="B922" t="s">
        <v>11</v>
      </c>
      <c r="C922">
        <v>103.73</v>
      </c>
      <c r="D922">
        <v>103.66153</v>
      </c>
      <c r="E922" s="1">
        <v>41760</v>
      </c>
      <c r="F922">
        <f t="shared" si="28"/>
        <v>5</v>
      </c>
      <c r="G922">
        <f t="shared" si="29"/>
        <v>2014</v>
      </c>
    </row>
    <row r="923" spans="1:7" x14ac:dyDescent="0.25">
      <c r="A923" t="s">
        <v>5</v>
      </c>
      <c r="B923" t="s">
        <v>11</v>
      </c>
      <c r="C923">
        <v>104.52</v>
      </c>
      <c r="D923">
        <v>102.1163</v>
      </c>
      <c r="E923" s="1">
        <v>41791</v>
      </c>
      <c r="F923">
        <f t="shared" si="28"/>
        <v>6</v>
      </c>
      <c r="G923">
        <f t="shared" si="29"/>
        <v>2014</v>
      </c>
    </row>
    <row r="924" spans="1:7" x14ac:dyDescent="0.25">
      <c r="A924" t="s">
        <v>5</v>
      </c>
      <c r="B924" t="s">
        <v>11</v>
      </c>
      <c r="C924">
        <v>103.63</v>
      </c>
      <c r="D924">
        <v>103.21561</v>
      </c>
      <c r="E924" s="1">
        <v>41821</v>
      </c>
      <c r="F924">
        <f t="shared" si="28"/>
        <v>7</v>
      </c>
      <c r="G924">
        <f t="shared" si="29"/>
        <v>2014</v>
      </c>
    </row>
    <row r="925" spans="1:7" x14ac:dyDescent="0.25">
      <c r="A925" t="s">
        <v>5</v>
      </c>
      <c r="B925" t="s">
        <v>11</v>
      </c>
      <c r="C925">
        <v>107.22</v>
      </c>
      <c r="D925">
        <v>107.09969</v>
      </c>
      <c r="E925" s="1">
        <v>41852</v>
      </c>
      <c r="F925">
        <f t="shared" si="28"/>
        <v>8</v>
      </c>
      <c r="G925">
        <f t="shared" si="29"/>
        <v>2014</v>
      </c>
    </row>
    <row r="926" spans="1:7" x14ac:dyDescent="0.25">
      <c r="A926" t="s">
        <v>5</v>
      </c>
      <c r="B926" t="s">
        <v>11</v>
      </c>
      <c r="C926">
        <v>105.02</v>
      </c>
      <c r="D926">
        <v>106.49545000000001</v>
      </c>
      <c r="E926" s="1">
        <v>41883</v>
      </c>
      <c r="F926">
        <f t="shared" si="28"/>
        <v>9</v>
      </c>
      <c r="G926">
        <f t="shared" si="29"/>
        <v>2014</v>
      </c>
    </row>
    <row r="927" spans="1:7" x14ac:dyDescent="0.25">
      <c r="A927" t="s">
        <v>5</v>
      </c>
      <c r="B927" t="s">
        <v>11</v>
      </c>
      <c r="C927">
        <v>108.43</v>
      </c>
      <c r="D927">
        <v>111.32777</v>
      </c>
      <c r="E927" s="1">
        <v>41913</v>
      </c>
      <c r="F927">
        <f t="shared" si="28"/>
        <v>10</v>
      </c>
      <c r="G927">
        <f t="shared" si="29"/>
        <v>2014</v>
      </c>
    </row>
    <row r="928" spans="1:7" x14ac:dyDescent="0.25">
      <c r="A928" t="s">
        <v>5</v>
      </c>
      <c r="B928" t="s">
        <v>11</v>
      </c>
      <c r="C928">
        <v>103.3</v>
      </c>
      <c r="D928">
        <v>100.96921</v>
      </c>
      <c r="E928" s="1">
        <v>41944</v>
      </c>
      <c r="F928">
        <f t="shared" si="28"/>
        <v>11</v>
      </c>
      <c r="G928">
        <f t="shared" si="29"/>
        <v>2014</v>
      </c>
    </row>
    <row r="929" spans="1:7" x14ac:dyDescent="0.25">
      <c r="A929" t="s">
        <v>5</v>
      </c>
      <c r="B929" t="s">
        <v>11</v>
      </c>
      <c r="C929">
        <v>98.9</v>
      </c>
      <c r="D929">
        <v>110.44479</v>
      </c>
      <c r="E929" s="1">
        <v>41974</v>
      </c>
      <c r="F929">
        <f t="shared" si="28"/>
        <v>12</v>
      </c>
      <c r="G929">
        <f t="shared" si="29"/>
        <v>2014</v>
      </c>
    </row>
    <row r="930" spans="1:7" x14ac:dyDescent="0.25">
      <c r="A930" t="s">
        <v>5</v>
      </c>
      <c r="B930" t="s">
        <v>11</v>
      </c>
      <c r="C930">
        <v>99.38</v>
      </c>
      <c r="D930">
        <v>95.612750000000005</v>
      </c>
      <c r="E930" s="1">
        <v>42005</v>
      </c>
      <c r="F930">
        <f t="shared" si="28"/>
        <v>1</v>
      </c>
      <c r="G930">
        <f t="shared" si="29"/>
        <v>2015</v>
      </c>
    </row>
    <row r="931" spans="1:7" x14ac:dyDescent="0.25">
      <c r="A931" t="s">
        <v>5</v>
      </c>
      <c r="B931" t="s">
        <v>11</v>
      </c>
      <c r="C931">
        <v>98.4</v>
      </c>
      <c r="D931">
        <v>91.45823</v>
      </c>
      <c r="E931" s="1">
        <v>42036</v>
      </c>
      <c r="F931">
        <f t="shared" si="28"/>
        <v>2</v>
      </c>
      <c r="G931">
        <f t="shared" si="29"/>
        <v>2015</v>
      </c>
    </row>
    <row r="932" spans="1:7" x14ac:dyDescent="0.25">
      <c r="A932" t="s">
        <v>5</v>
      </c>
      <c r="B932" t="s">
        <v>11</v>
      </c>
      <c r="C932">
        <v>97.22</v>
      </c>
      <c r="D932">
        <v>97.058310000000006</v>
      </c>
      <c r="E932" s="1">
        <v>42064</v>
      </c>
      <c r="F932">
        <f t="shared" si="28"/>
        <v>3</v>
      </c>
      <c r="G932">
        <f t="shared" si="29"/>
        <v>2015</v>
      </c>
    </row>
    <row r="933" spans="1:7" x14ac:dyDescent="0.25">
      <c r="A933" t="s">
        <v>5</v>
      </c>
      <c r="B933" t="s">
        <v>11</v>
      </c>
      <c r="C933">
        <v>97</v>
      </c>
      <c r="D933">
        <v>96.884979999999999</v>
      </c>
      <c r="E933" s="1">
        <v>42095</v>
      </c>
      <c r="F933">
        <f t="shared" si="28"/>
        <v>4</v>
      </c>
      <c r="G933">
        <f t="shared" si="29"/>
        <v>2015</v>
      </c>
    </row>
    <row r="934" spans="1:7" x14ac:dyDescent="0.25">
      <c r="A934" t="s">
        <v>5</v>
      </c>
      <c r="B934" t="s">
        <v>11</v>
      </c>
      <c r="C934">
        <v>97.16</v>
      </c>
      <c r="D934">
        <v>96.02758</v>
      </c>
      <c r="E934" s="1">
        <v>42125</v>
      </c>
      <c r="F934">
        <f t="shared" si="28"/>
        <v>5</v>
      </c>
      <c r="G934">
        <f t="shared" si="29"/>
        <v>2015</v>
      </c>
    </row>
    <row r="935" spans="1:7" x14ac:dyDescent="0.25">
      <c r="A935" t="s">
        <v>5</v>
      </c>
      <c r="B935" t="s">
        <v>11</v>
      </c>
      <c r="C935">
        <v>95.8</v>
      </c>
      <c r="D935">
        <v>94.75421</v>
      </c>
      <c r="E935" s="1">
        <v>42156</v>
      </c>
      <c r="F935">
        <f t="shared" si="28"/>
        <v>6</v>
      </c>
      <c r="G935">
        <f t="shared" si="29"/>
        <v>2015</v>
      </c>
    </row>
    <row r="936" spans="1:7" x14ac:dyDescent="0.25">
      <c r="A936" t="s">
        <v>5</v>
      </c>
      <c r="B936" t="s">
        <v>11</v>
      </c>
      <c r="C936">
        <v>94.86</v>
      </c>
      <c r="D936">
        <v>94.075410000000005</v>
      </c>
      <c r="E936" s="1">
        <v>42186</v>
      </c>
      <c r="F936">
        <f t="shared" si="28"/>
        <v>7</v>
      </c>
      <c r="G936">
        <f t="shared" si="29"/>
        <v>2015</v>
      </c>
    </row>
    <row r="937" spans="1:7" x14ac:dyDescent="0.25">
      <c r="A937" t="s">
        <v>5</v>
      </c>
      <c r="B937" t="s">
        <v>11</v>
      </c>
      <c r="C937">
        <v>94.18</v>
      </c>
      <c r="D937">
        <v>93.651610000000005</v>
      </c>
      <c r="E937" s="1">
        <v>42217</v>
      </c>
      <c r="F937">
        <f t="shared" si="28"/>
        <v>8</v>
      </c>
      <c r="G937">
        <f t="shared" si="29"/>
        <v>2015</v>
      </c>
    </row>
    <row r="938" spans="1:7" x14ac:dyDescent="0.25">
      <c r="A938" t="s">
        <v>5</v>
      </c>
      <c r="B938" t="s">
        <v>11</v>
      </c>
      <c r="C938">
        <v>94</v>
      </c>
      <c r="D938">
        <v>95.957920000000001</v>
      </c>
      <c r="E938" s="1">
        <v>42248</v>
      </c>
      <c r="F938">
        <f t="shared" si="28"/>
        <v>9</v>
      </c>
      <c r="G938">
        <f t="shared" si="29"/>
        <v>2015</v>
      </c>
    </row>
    <row r="939" spans="1:7" x14ac:dyDescent="0.25">
      <c r="A939" t="s">
        <v>5</v>
      </c>
      <c r="B939" t="s">
        <v>11</v>
      </c>
      <c r="C939">
        <v>94.4</v>
      </c>
      <c r="D939">
        <v>95.960819999999998</v>
      </c>
      <c r="E939" s="1">
        <v>42278</v>
      </c>
      <c r="F939">
        <f t="shared" si="28"/>
        <v>10</v>
      </c>
      <c r="G939">
        <f t="shared" si="29"/>
        <v>2015</v>
      </c>
    </row>
    <row r="940" spans="1:7" x14ac:dyDescent="0.25">
      <c r="A940" t="s">
        <v>5</v>
      </c>
      <c r="B940" t="s">
        <v>11</v>
      </c>
      <c r="C940">
        <v>94.1</v>
      </c>
      <c r="D940">
        <v>93.229190000000003</v>
      </c>
      <c r="E940" s="1">
        <v>42309</v>
      </c>
      <c r="F940">
        <f t="shared" si="28"/>
        <v>11</v>
      </c>
      <c r="G940">
        <f t="shared" si="29"/>
        <v>2015</v>
      </c>
    </row>
    <row r="941" spans="1:7" x14ac:dyDescent="0.25">
      <c r="A941" t="s">
        <v>5</v>
      </c>
      <c r="B941" t="s">
        <v>11</v>
      </c>
      <c r="C941">
        <v>88.44</v>
      </c>
      <c r="D941">
        <v>99.104069999999993</v>
      </c>
      <c r="E941" s="1">
        <v>42339</v>
      </c>
      <c r="F941">
        <f t="shared" si="28"/>
        <v>12</v>
      </c>
      <c r="G941">
        <f t="shared" si="29"/>
        <v>2015</v>
      </c>
    </row>
    <row r="942" spans="1:7" x14ac:dyDescent="0.25">
      <c r="A942" t="s">
        <v>5</v>
      </c>
      <c r="B942" t="s">
        <v>11</v>
      </c>
      <c r="C942">
        <v>92.26</v>
      </c>
      <c r="D942">
        <v>88.021780000000007</v>
      </c>
      <c r="E942" s="1">
        <v>42370</v>
      </c>
      <c r="F942">
        <f t="shared" si="28"/>
        <v>1</v>
      </c>
      <c r="G942">
        <f t="shared" si="29"/>
        <v>2016</v>
      </c>
    </row>
    <row r="943" spans="1:7" x14ac:dyDescent="0.25">
      <c r="A943" t="s">
        <v>5</v>
      </c>
      <c r="B943" t="s">
        <v>11</v>
      </c>
      <c r="C943">
        <v>89.33</v>
      </c>
      <c r="D943">
        <v>85.904430000000005</v>
      </c>
      <c r="E943" s="1">
        <v>42401</v>
      </c>
      <c r="F943">
        <f t="shared" si="28"/>
        <v>2</v>
      </c>
      <c r="G943">
        <f t="shared" si="29"/>
        <v>2016</v>
      </c>
    </row>
    <row r="944" spans="1:7" x14ac:dyDescent="0.25">
      <c r="A944" t="s">
        <v>5</v>
      </c>
      <c r="B944" t="s">
        <v>11</v>
      </c>
      <c r="C944">
        <v>99.32</v>
      </c>
      <c r="D944">
        <v>99.507549999999995</v>
      </c>
      <c r="E944" s="1">
        <v>42430</v>
      </c>
      <c r="F944">
        <f t="shared" si="28"/>
        <v>3</v>
      </c>
      <c r="G944">
        <f t="shared" si="29"/>
        <v>2016</v>
      </c>
    </row>
    <row r="945" spans="1:7" x14ac:dyDescent="0.25">
      <c r="A945" t="s">
        <v>5</v>
      </c>
      <c r="B945" t="s">
        <v>11</v>
      </c>
      <c r="C945">
        <v>94.73</v>
      </c>
      <c r="D945">
        <v>93.688289999999995</v>
      </c>
      <c r="E945" s="1">
        <v>42461</v>
      </c>
      <c r="F945">
        <f t="shared" si="28"/>
        <v>4</v>
      </c>
      <c r="G945">
        <f t="shared" si="29"/>
        <v>2016</v>
      </c>
    </row>
    <row r="946" spans="1:7" x14ac:dyDescent="0.25">
      <c r="A946" t="s">
        <v>5</v>
      </c>
      <c r="B946" t="s">
        <v>11</v>
      </c>
      <c r="C946">
        <v>92.52</v>
      </c>
      <c r="D946">
        <v>90.072190000000006</v>
      </c>
      <c r="E946" s="1">
        <v>42491</v>
      </c>
      <c r="F946">
        <f t="shared" si="28"/>
        <v>5</v>
      </c>
      <c r="G946">
        <f t="shared" si="29"/>
        <v>2016</v>
      </c>
    </row>
    <row r="947" spans="1:7" x14ac:dyDescent="0.25">
      <c r="A947" t="s">
        <v>5</v>
      </c>
      <c r="B947" t="s">
        <v>11</v>
      </c>
      <c r="C947">
        <v>90.93</v>
      </c>
      <c r="D947">
        <v>92.718019999999996</v>
      </c>
      <c r="E947" s="1">
        <v>42522</v>
      </c>
      <c r="F947">
        <f t="shared" si="28"/>
        <v>6</v>
      </c>
      <c r="G947">
        <f t="shared" si="29"/>
        <v>2016</v>
      </c>
    </row>
    <row r="948" spans="1:7" x14ac:dyDescent="0.25">
      <c r="A948" t="s">
        <v>5</v>
      </c>
      <c r="B948" t="s">
        <v>11</v>
      </c>
      <c r="C948">
        <v>95.99</v>
      </c>
      <c r="D948">
        <v>93.313739999999996</v>
      </c>
      <c r="E948" s="1">
        <v>42552</v>
      </c>
      <c r="F948">
        <f t="shared" si="28"/>
        <v>7</v>
      </c>
      <c r="G948">
        <f t="shared" si="29"/>
        <v>2016</v>
      </c>
    </row>
    <row r="949" spans="1:7" x14ac:dyDescent="0.25">
      <c r="A949" t="s">
        <v>5</v>
      </c>
      <c r="B949" t="s">
        <v>11</v>
      </c>
      <c r="C949">
        <v>91.79</v>
      </c>
      <c r="D949">
        <v>93.355029999999999</v>
      </c>
      <c r="E949" s="1">
        <v>42583</v>
      </c>
      <c r="F949">
        <f t="shared" si="28"/>
        <v>8</v>
      </c>
      <c r="G949">
        <f t="shared" si="29"/>
        <v>2016</v>
      </c>
    </row>
    <row r="950" spans="1:7" x14ac:dyDescent="0.25">
      <c r="A950" t="s">
        <v>5</v>
      </c>
      <c r="B950" t="s">
        <v>11</v>
      </c>
      <c r="C950">
        <v>90.42</v>
      </c>
      <c r="D950">
        <v>91.266480000000001</v>
      </c>
      <c r="E950" s="1">
        <v>42614</v>
      </c>
      <c r="F950">
        <f t="shared" si="28"/>
        <v>9</v>
      </c>
      <c r="G950">
        <f t="shared" si="29"/>
        <v>2016</v>
      </c>
    </row>
    <row r="951" spans="1:7" x14ac:dyDescent="0.25">
      <c r="A951" t="s">
        <v>5</v>
      </c>
      <c r="B951" t="s">
        <v>11</v>
      </c>
      <c r="C951">
        <v>90.89</v>
      </c>
      <c r="D951">
        <v>91.650229999999993</v>
      </c>
      <c r="E951" s="1">
        <v>42644</v>
      </c>
      <c r="F951">
        <f t="shared" si="28"/>
        <v>10</v>
      </c>
      <c r="G951">
        <f t="shared" si="29"/>
        <v>2016</v>
      </c>
    </row>
    <row r="952" spans="1:7" x14ac:dyDescent="0.25">
      <c r="A952" t="s">
        <v>5</v>
      </c>
      <c r="B952" t="s">
        <v>11</v>
      </c>
      <c r="C952">
        <v>92.08</v>
      </c>
      <c r="D952">
        <v>92.991209999999995</v>
      </c>
      <c r="E952" s="1">
        <v>42675</v>
      </c>
      <c r="F952">
        <f t="shared" si="28"/>
        <v>11</v>
      </c>
      <c r="G952">
        <f t="shared" si="29"/>
        <v>2016</v>
      </c>
    </row>
    <row r="953" spans="1:7" x14ac:dyDescent="0.25">
      <c r="A953" t="s">
        <v>5</v>
      </c>
      <c r="B953" t="s">
        <v>11</v>
      </c>
      <c r="C953">
        <v>90.24</v>
      </c>
      <c r="D953">
        <v>99.724789999999999</v>
      </c>
      <c r="E953" s="1">
        <v>42705</v>
      </c>
      <c r="F953">
        <f t="shared" si="28"/>
        <v>12</v>
      </c>
      <c r="G953">
        <f t="shared" si="29"/>
        <v>2016</v>
      </c>
    </row>
    <row r="954" spans="1:7" x14ac:dyDescent="0.25">
      <c r="A954" t="s">
        <v>5</v>
      </c>
      <c r="B954" t="s">
        <v>11</v>
      </c>
      <c r="C954">
        <v>85.84</v>
      </c>
      <c r="D954">
        <v>82.985439999999997</v>
      </c>
      <c r="E954" s="1">
        <v>42736</v>
      </c>
      <c r="F954">
        <f t="shared" si="28"/>
        <v>1</v>
      </c>
      <c r="G954">
        <f t="shared" si="29"/>
        <v>2017</v>
      </c>
    </row>
    <row r="955" spans="1:7" x14ac:dyDescent="0.25">
      <c r="A955" t="s">
        <v>5</v>
      </c>
      <c r="B955" t="s">
        <v>11</v>
      </c>
      <c r="C955">
        <v>85.8</v>
      </c>
      <c r="D955">
        <v>79.558899999999994</v>
      </c>
      <c r="E955" s="1">
        <v>42767</v>
      </c>
      <c r="F955">
        <f t="shared" si="28"/>
        <v>2</v>
      </c>
      <c r="G955">
        <f t="shared" si="29"/>
        <v>2017</v>
      </c>
    </row>
    <row r="956" spans="1:7" x14ac:dyDescent="0.25">
      <c r="A956" t="s">
        <v>5</v>
      </c>
      <c r="B956" t="s">
        <v>11</v>
      </c>
      <c r="C956">
        <v>83.98</v>
      </c>
      <c r="D956">
        <v>84.844309999999993</v>
      </c>
      <c r="E956" s="1">
        <v>42795</v>
      </c>
      <c r="F956">
        <f t="shared" si="28"/>
        <v>3</v>
      </c>
      <c r="G956">
        <f t="shared" si="29"/>
        <v>2017</v>
      </c>
    </row>
    <row r="957" spans="1:7" x14ac:dyDescent="0.25">
      <c r="A957" t="s">
        <v>5</v>
      </c>
      <c r="B957" t="s">
        <v>11</v>
      </c>
      <c r="C957">
        <v>80.989999999999995</v>
      </c>
      <c r="D957">
        <v>78.158280000000005</v>
      </c>
      <c r="E957" s="1">
        <v>42826</v>
      </c>
      <c r="F957">
        <f t="shared" si="28"/>
        <v>4</v>
      </c>
      <c r="G957">
        <f t="shared" si="29"/>
        <v>2017</v>
      </c>
    </row>
    <row r="958" spans="1:7" x14ac:dyDescent="0.25">
      <c r="A958" t="s">
        <v>5</v>
      </c>
      <c r="B958" t="s">
        <v>11</v>
      </c>
      <c r="C958">
        <v>83.68</v>
      </c>
      <c r="D958">
        <v>84.511970000000005</v>
      </c>
      <c r="E958" s="1">
        <v>42856</v>
      </c>
      <c r="F958">
        <f t="shared" si="28"/>
        <v>5</v>
      </c>
      <c r="G958">
        <f t="shared" si="29"/>
        <v>2017</v>
      </c>
    </row>
    <row r="959" spans="1:7" x14ac:dyDescent="0.25">
      <c r="A959" t="s">
        <v>5</v>
      </c>
      <c r="B959" t="s">
        <v>11</v>
      </c>
      <c r="C959">
        <v>84.84</v>
      </c>
      <c r="D959">
        <v>84.254320000000007</v>
      </c>
      <c r="E959" s="1">
        <v>42887</v>
      </c>
      <c r="F959">
        <f t="shared" si="28"/>
        <v>6</v>
      </c>
      <c r="G959">
        <f t="shared" si="29"/>
        <v>2017</v>
      </c>
    </row>
    <row r="960" spans="1:7" x14ac:dyDescent="0.25">
      <c r="A960" t="s">
        <v>5</v>
      </c>
      <c r="B960" t="s">
        <v>11</v>
      </c>
      <c r="C960">
        <v>84.77</v>
      </c>
      <c r="D960">
        <v>82.635249999999999</v>
      </c>
      <c r="E960" s="1">
        <v>42917</v>
      </c>
      <c r="F960">
        <f t="shared" si="28"/>
        <v>7</v>
      </c>
      <c r="G960">
        <f t="shared" si="29"/>
        <v>2017</v>
      </c>
    </row>
    <row r="961" spans="1:7" x14ac:dyDescent="0.25">
      <c r="A961" t="s">
        <v>5</v>
      </c>
      <c r="B961" t="s">
        <v>11</v>
      </c>
      <c r="C961">
        <v>84.04</v>
      </c>
      <c r="D961">
        <v>85.282820000000001</v>
      </c>
      <c r="E961" s="1">
        <v>42948</v>
      </c>
      <c r="F961">
        <f t="shared" si="28"/>
        <v>8</v>
      </c>
      <c r="G961">
        <f t="shared" si="29"/>
        <v>2017</v>
      </c>
    </row>
    <row r="962" spans="1:7" x14ac:dyDescent="0.25">
      <c r="A962" t="s">
        <v>5</v>
      </c>
      <c r="B962" t="s">
        <v>11</v>
      </c>
      <c r="C962">
        <v>86.04</v>
      </c>
      <c r="D962">
        <v>86.031790000000001</v>
      </c>
      <c r="E962" s="1">
        <v>42979</v>
      </c>
      <c r="F962">
        <f t="shared" ref="F962:F1025" si="30">MONTH(E962)</f>
        <v>9</v>
      </c>
      <c r="G962">
        <f t="shared" ref="G962:G1025" si="31">YEAR(E962)</f>
        <v>2017</v>
      </c>
    </row>
    <row r="963" spans="1:7" x14ac:dyDescent="0.25">
      <c r="A963" t="s">
        <v>5</v>
      </c>
      <c r="B963" t="s">
        <v>11</v>
      </c>
      <c r="C963">
        <v>85.72</v>
      </c>
      <c r="D963">
        <v>87.064350000000005</v>
      </c>
      <c r="E963" s="1">
        <v>43009</v>
      </c>
      <c r="F963">
        <f t="shared" si="30"/>
        <v>10</v>
      </c>
      <c r="G963">
        <f t="shared" si="31"/>
        <v>2017</v>
      </c>
    </row>
    <row r="964" spans="1:7" x14ac:dyDescent="0.25">
      <c r="A964" t="s">
        <v>5</v>
      </c>
      <c r="B964" t="s">
        <v>11</v>
      </c>
      <c r="C964">
        <v>83.37</v>
      </c>
      <c r="D964">
        <v>83.673450000000003</v>
      </c>
      <c r="E964" s="1">
        <v>43040</v>
      </c>
      <c r="F964">
        <f t="shared" si="30"/>
        <v>11</v>
      </c>
      <c r="G964">
        <f t="shared" si="31"/>
        <v>2017</v>
      </c>
    </row>
    <row r="965" spans="1:7" x14ac:dyDescent="0.25">
      <c r="A965" t="s">
        <v>5</v>
      </c>
      <c r="B965" t="s">
        <v>11</v>
      </c>
      <c r="C965">
        <v>85.4</v>
      </c>
      <c r="D965">
        <v>94.21387</v>
      </c>
      <c r="E965" s="1">
        <v>43070</v>
      </c>
      <c r="F965">
        <f t="shared" si="30"/>
        <v>12</v>
      </c>
      <c r="G965">
        <f t="shared" si="31"/>
        <v>2017</v>
      </c>
    </row>
    <row r="966" spans="1:7" x14ac:dyDescent="0.25">
      <c r="A966" t="s">
        <v>5</v>
      </c>
      <c r="B966" t="s">
        <v>11</v>
      </c>
      <c r="C966">
        <v>85.57</v>
      </c>
      <c r="D966">
        <v>84.324659999999994</v>
      </c>
      <c r="E966" s="1">
        <v>43101</v>
      </c>
      <c r="F966">
        <f t="shared" si="30"/>
        <v>1</v>
      </c>
      <c r="G966">
        <f t="shared" si="31"/>
        <v>2018</v>
      </c>
    </row>
    <row r="967" spans="1:7" x14ac:dyDescent="0.25">
      <c r="A967" t="s">
        <v>5</v>
      </c>
      <c r="B967" t="s">
        <v>11</v>
      </c>
      <c r="C967">
        <v>87.36</v>
      </c>
      <c r="D967">
        <v>80.883769999999998</v>
      </c>
      <c r="E967" s="1">
        <v>43132</v>
      </c>
      <c r="F967">
        <f t="shared" si="30"/>
        <v>2</v>
      </c>
      <c r="G967">
        <f t="shared" si="31"/>
        <v>2018</v>
      </c>
    </row>
    <row r="968" spans="1:7" x14ac:dyDescent="0.25">
      <c r="A968" t="s">
        <v>5</v>
      </c>
      <c r="B968" t="s">
        <v>11</v>
      </c>
      <c r="C968">
        <v>87.98</v>
      </c>
      <c r="D968">
        <v>86.733750000000001</v>
      </c>
      <c r="E968" s="1">
        <v>43160</v>
      </c>
      <c r="F968">
        <f t="shared" si="30"/>
        <v>3</v>
      </c>
      <c r="G968">
        <f t="shared" si="31"/>
        <v>2018</v>
      </c>
    </row>
    <row r="969" spans="1:7" x14ac:dyDescent="0.25">
      <c r="A969" t="s">
        <v>5</v>
      </c>
      <c r="B969" t="s">
        <v>11</v>
      </c>
      <c r="C969">
        <v>87.57</v>
      </c>
      <c r="D969">
        <v>85.372370000000004</v>
      </c>
      <c r="E969" s="1">
        <v>43191</v>
      </c>
      <c r="F969">
        <f t="shared" si="30"/>
        <v>4</v>
      </c>
      <c r="G969">
        <f t="shared" si="31"/>
        <v>2018</v>
      </c>
    </row>
    <row r="970" spans="1:7" x14ac:dyDescent="0.25">
      <c r="A970" t="s">
        <v>5</v>
      </c>
      <c r="B970" t="s">
        <v>11</v>
      </c>
      <c r="C970">
        <v>82.32</v>
      </c>
      <c r="D970">
        <v>83.115409999999997</v>
      </c>
      <c r="E970" s="1">
        <v>43221</v>
      </c>
      <c r="F970">
        <f t="shared" si="30"/>
        <v>5</v>
      </c>
      <c r="G970">
        <f t="shared" si="31"/>
        <v>2018</v>
      </c>
    </row>
    <row r="971" spans="1:7" x14ac:dyDescent="0.25">
      <c r="A971" t="s">
        <v>5</v>
      </c>
      <c r="B971" t="s">
        <v>11</v>
      </c>
      <c r="C971">
        <v>87.97</v>
      </c>
      <c r="D971">
        <v>87.045969999999997</v>
      </c>
      <c r="E971" s="1">
        <v>43252</v>
      </c>
      <c r="F971">
        <f t="shared" si="30"/>
        <v>6</v>
      </c>
      <c r="G971">
        <f t="shared" si="31"/>
        <v>2018</v>
      </c>
    </row>
    <row r="972" spans="1:7" x14ac:dyDescent="0.25">
      <c r="A972" t="s">
        <v>5</v>
      </c>
      <c r="B972" t="s">
        <v>11</v>
      </c>
      <c r="C972">
        <v>84.07</v>
      </c>
      <c r="D972">
        <v>83.467870000000005</v>
      </c>
      <c r="E972" s="1">
        <v>43282</v>
      </c>
      <c r="F972">
        <f t="shared" si="30"/>
        <v>7</v>
      </c>
      <c r="G972">
        <f t="shared" si="31"/>
        <v>2018</v>
      </c>
    </row>
    <row r="973" spans="1:7" x14ac:dyDescent="0.25">
      <c r="A973" t="s">
        <v>5</v>
      </c>
      <c r="B973" t="s">
        <v>11</v>
      </c>
      <c r="C973">
        <v>85.36</v>
      </c>
      <c r="D973">
        <v>86.348519999999994</v>
      </c>
      <c r="E973" s="1">
        <v>43313</v>
      </c>
      <c r="F973">
        <f t="shared" si="30"/>
        <v>8</v>
      </c>
      <c r="G973">
        <f t="shared" si="31"/>
        <v>2018</v>
      </c>
    </row>
    <row r="974" spans="1:7" x14ac:dyDescent="0.25">
      <c r="A974" t="s">
        <v>5</v>
      </c>
      <c r="B974" t="s">
        <v>11</v>
      </c>
      <c r="C974">
        <v>83.18</v>
      </c>
      <c r="D974">
        <v>82.49006</v>
      </c>
      <c r="E974" s="1">
        <v>43344</v>
      </c>
      <c r="F974">
        <f t="shared" si="30"/>
        <v>9</v>
      </c>
      <c r="G974">
        <f t="shared" si="31"/>
        <v>2018</v>
      </c>
    </row>
    <row r="975" spans="1:7" x14ac:dyDescent="0.25">
      <c r="A975" t="s">
        <v>5</v>
      </c>
      <c r="B975" t="s">
        <v>11</v>
      </c>
      <c r="C975">
        <v>87.26</v>
      </c>
      <c r="D975">
        <v>89.261719999999997</v>
      </c>
      <c r="E975" s="1">
        <v>43374</v>
      </c>
      <c r="F975">
        <f t="shared" si="30"/>
        <v>10</v>
      </c>
      <c r="G975">
        <f t="shared" si="31"/>
        <v>2018</v>
      </c>
    </row>
    <row r="976" spans="1:7" x14ac:dyDescent="0.25">
      <c r="A976" t="s">
        <v>5</v>
      </c>
      <c r="B976" t="s">
        <v>11</v>
      </c>
      <c r="C976">
        <v>87.65</v>
      </c>
      <c r="D976">
        <v>86.857709999999997</v>
      </c>
      <c r="E976" s="1">
        <v>43405</v>
      </c>
      <c r="F976">
        <f t="shared" si="30"/>
        <v>11</v>
      </c>
      <c r="G976">
        <f t="shared" si="31"/>
        <v>2018</v>
      </c>
    </row>
    <row r="977" spans="1:7" x14ac:dyDescent="0.25">
      <c r="A977" t="s">
        <v>5</v>
      </c>
      <c r="B977" t="s">
        <v>11</v>
      </c>
      <c r="C977">
        <v>87.24</v>
      </c>
      <c r="D977">
        <v>96.487870000000001</v>
      </c>
      <c r="E977" s="1">
        <v>43435</v>
      </c>
      <c r="F977">
        <f t="shared" si="30"/>
        <v>12</v>
      </c>
      <c r="G977">
        <f t="shared" si="31"/>
        <v>2018</v>
      </c>
    </row>
    <row r="978" spans="1:7" x14ac:dyDescent="0.25">
      <c r="A978" t="s">
        <v>5</v>
      </c>
      <c r="B978" t="s">
        <v>11</v>
      </c>
      <c r="C978">
        <v>89.82</v>
      </c>
      <c r="D978">
        <v>89.125680000000003</v>
      </c>
      <c r="E978" s="1">
        <v>43466</v>
      </c>
      <c r="F978">
        <f t="shared" si="30"/>
        <v>1</v>
      </c>
      <c r="G978">
        <f t="shared" si="31"/>
        <v>2019</v>
      </c>
    </row>
    <row r="979" spans="1:7" x14ac:dyDescent="0.25">
      <c r="A979" t="s">
        <v>5</v>
      </c>
      <c r="B979" t="s">
        <v>11</v>
      </c>
      <c r="C979">
        <v>88.56</v>
      </c>
      <c r="D979">
        <v>85.316680000000005</v>
      </c>
      <c r="E979" s="1">
        <v>43497</v>
      </c>
      <c r="F979">
        <f t="shared" si="30"/>
        <v>2</v>
      </c>
      <c r="G979">
        <f t="shared" si="31"/>
        <v>2019</v>
      </c>
    </row>
    <row r="980" spans="1:7" x14ac:dyDescent="0.25">
      <c r="A980" t="s">
        <v>5</v>
      </c>
      <c r="B980" t="s">
        <v>11</v>
      </c>
      <c r="C980">
        <v>90.38</v>
      </c>
      <c r="D980">
        <v>85.676050000000004</v>
      </c>
      <c r="E980" s="1">
        <v>43525</v>
      </c>
      <c r="F980">
        <f t="shared" si="30"/>
        <v>3</v>
      </c>
      <c r="G980">
        <f t="shared" si="31"/>
        <v>2019</v>
      </c>
    </row>
    <row r="981" spans="1:7" x14ac:dyDescent="0.25">
      <c r="A981" t="s">
        <v>5</v>
      </c>
      <c r="B981" t="s">
        <v>11</v>
      </c>
      <c r="C981">
        <v>88.79</v>
      </c>
      <c r="D981">
        <v>86.233729999999994</v>
      </c>
      <c r="E981" s="1">
        <v>43556</v>
      </c>
      <c r="F981">
        <f t="shared" si="30"/>
        <v>4</v>
      </c>
      <c r="G981">
        <f t="shared" si="31"/>
        <v>2019</v>
      </c>
    </row>
    <row r="982" spans="1:7" x14ac:dyDescent="0.25">
      <c r="A982" t="s">
        <v>5</v>
      </c>
      <c r="B982" t="s">
        <v>11</v>
      </c>
      <c r="C982">
        <v>90.06</v>
      </c>
      <c r="D982">
        <v>90.638170000000002</v>
      </c>
      <c r="E982" s="1">
        <v>43586</v>
      </c>
      <c r="F982">
        <f t="shared" si="30"/>
        <v>5</v>
      </c>
      <c r="G982">
        <f t="shared" si="31"/>
        <v>2019</v>
      </c>
    </row>
    <row r="983" spans="1:7" x14ac:dyDescent="0.25">
      <c r="A983" t="s">
        <v>5</v>
      </c>
      <c r="B983" t="s">
        <v>11</v>
      </c>
      <c r="C983">
        <v>89.09</v>
      </c>
      <c r="D983">
        <v>87.786540000000002</v>
      </c>
      <c r="E983" s="1">
        <v>43617</v>
      </c>
      <c r="F983">
        <f t="shared" si="30"/>
        <v>6</v>
      </c>
      <c r="G983">
        <f t="shared" si="31"/>
        <v>2019</v>
      </c>
    </row>
    <row r="984" spans="1:7" x14ac:dyDescent="0.25">
      <c r="A984" t="s">
        <v>5</v>
      </c>
      <c r="B984" t="s">
        <v>11</v>
      </c>
      <c r="C984">
        <v>91.02</v>
      </c>
      <c r="D984">
        <v>92.123639999999995</v>
      </c>
      <c r="E984" s="1">
        <v>43647</v>
      </c>
      <c r="F984">
        <f t="shared" si="30"/>
        <v>7</v>
      </c>
      <c r="G984">
        <f t="shared" si="31"/>
        <v>2019</v>
      </c>
    </row>
    <row r="985" spans="1:7" x14ac:dyDescent="0.25">
      <c r="A985" t="s">
        <v>5</v>
      </c>
      <c r="B985" t="s">
        <v>11</v>
      </c>
      <c r="C985">
        <v>91.28</v>
      </c>
      <c r="D985">
        <v>91.267160000000004</v>
      </c>
      <c r="E985" s="1">
        <v>43678</v>
      </c>
      <c r="F985">
        <f t="shared" si="30"/>
        <v>8</v>
      </c>
      <c r="G985">
        <f t="shared" si="31"/>
        <v>2019</v>
      </c>
    </row>
    <row r="986" spans="1:7" x14ac:dyDescent="0.25">
      <c r="A986" t="s">
        <v>5</v>
      </c>
      <c r="B986" t="s">
        <v>11</v>
      </c>
      <c r="C986">
        <v>91.66</v>
      </c>
      <c r="D986">
        <v>91.594740000000002</v>
      </c>
      <c r="E986" s="1">
        <v>43709</v>
      </c>
      <c r="F986">
        <f t="shared" si="30"/>
        <v>9</v>
      </c>
      <c r="G986">
        <f t="shared" si="31"/>
        <v>2019</v>
      </c>
    </row>
    <row r="987" spans="1:7" x14ac:dyDescent="0.25">
      <c r="A987" t="s">
        <v>5</v>
      </c>
      <c r="B987" t="s">
        <v>11</v>
      </c>
      <c r="C987">
        <v>91.5</v>
      </c>
      <c r="D987">
        <v>93.045389999999998</v>
      </c>
      <c r="E987" s="1">
        <v>43739</v>
      </c>
      <c r="F987">
        <f t="shared" si="30"/>
        <v>10</v>
      </c>
      <c r="G987">
        <f t="shared" si="31"/>
        <v>2019</v>
      </c>
    </row>
    <row r="988" spans="1:7" x14ac:dyDescent="0.25">
      <c r="A988" t="s">
        <v>5</v>
      </c>
      <c r="B988" t="s">
        <v>11</v>
      </c>
      <c r="C988">
        <v>94.83</v>
      </c>
      <c r="D988">
        <v>92.608220000000003</v>
      </c>
      <c r="E988" s="1">
        <v>43770</v>
      </c>
      <c r="F988">
        <f t="shared" si="30"/>
        <v>11</v>
      </c>
      <c r="G988">
        <f t="shared" si="31"/>
        <v>2019</v>
      </c>
    </row>
    <row r="989" spans="1:7" x14ac:dyDescent="0.25">
      <c r="A989" t="s">
        <v>5</v>
      </c>
      <c r="B989" t="s">
        <v>11</v>
      </c>
      <c r="C989">
        <v>96.02</v>
      </c>
      <c r="D989">
        <v>107.55343000000001</v>
      </c>
      <c r="E989" s="1">
        <v>43800</v>
      </c>
      <c r="F989">
        <f t="shared" si="30"/>
        <v>12</v>
      </c>
      <c r="G989">
        <f t="shared" si="31"/>
        <v>2019</v>
      </c>
    </row>
    <row r="990" spans="1:7" x14ac:dyDescent="0.25">
      <c r="A990" t="s">
        <v>5</v>
      </c>
      <c r="B990" t="s">
        <v>11</v>
      </c>
      <c r="C990">
        <v>98.29</v>
      </c>
      <c r="D990">
        <v>97.78922</v>
      </c>
      <c r="E990" s="1">
        <v>43831</v>
      </c>
      <c r="F990">
        <f t="shared" si="30"/>
        <v>1</v>
      </c>
      <c r="G990">
        <f t="shared" si="31"/>
        <v>2020</v>
      </c>
    </row>
    <row r="991" spans="1:7" x14ac:dyDescent="0.25">
      <c r="A991" t="s">
        <v>5</v>
      </c>
      <c r="B991" t="s">
        <v>11</v>
      </c>
      <c r="C991">
        <v>98.32</v>
      </c>
      <c r="D991">
        <v>93.215249999999997</v>
      </c>
      <c r="E991" s="1">
        <v>43862</v>
      </c>
      <c r="F991">
        <f t="shared" si="30"/>
        <v>2</v>
      </c>
      <c r="G991">
        <f t="shared" si="31"/>
        <v>2020</v>
      </c>
    </row>
    <row r="992" spans="1:7" x14ac:dyDescent="0.25">
      <c r="A992" t="s">
        <v>5</v>
      </c>
      <c r="B992" t="s">
        <v>11</v>
      </c>
      <c r="C992">
        <v>97.89</v>
      </c>
      <c r="D992">
        <v>97.671930000000003</v>
      </c>
      <c r="E992" s="1">
        <v>43891</v>
      </c>
      <c r="F992">
        <f t="shared" si="30"/>
        <v>3</v>
      </c>
      <c r="G992">
        <f t="shared" si="31"/>
        <v>2020</v>
      </c>
    </row>
    <row r="993" spans="1:7" x14ac:dyDescent="0.25">
      <c r="A993" t="s">
        <v>5</v>
      </c>
      <c r="B993" t="s">
        <v>11</v>
      </c>
      <c r="C993">
        <v>89.61</v>
      </c>
      <c r="D993">
        <v>86.897989999999993</v>
      </c>
      <c r="E993" s="1">
        <v>43922</v>
      </c>
      <c r="F993">
        <f t="shared" si="30"/>
        <v>4</v>
      </c>
      <c r="G993">
        <f t="shared" si="31"/>
        <v>2020</v>
      </c>
    </row>
    <row r="994" spans="1:7" x14ac:dyDescent="0.25">
      <c r="A994" t="s">
        <v>5</v>
      </c>
      <c r="B994" t="s">
        <v>11</v>
      </c>
      <c r="C994">
        <v>85.22</v>
      </c>
      <c r="D994">
        <v>84.021209999999996</v>
      </c>
      <c r="E994" s="1">
        <v>43952</v>
      </c>
      <c r="F994">
        <f t="shared" si="30"/>
        <v>5</v>
      </c>
      <c r="G994">
        <f t="shared" si="31"/>
        <v>2020</v>
      </c>
    </row>
    <row r="995" spans="1:7" x14ac:dyDescent="0.25">
      <c r="A995" t="s">
        <v>5</v>
      </c>
      <c r="B995" t="s">
        <v>11</v>
      </c>
      <c r="C995">
        <v>90.78</v>
      </c>
      <c r="D995">
        <v>91.410989999999998</v>
      </c>
      <c r="E995" s="1">
        <v>43983</v>
      </c>
      <c r="F995">
        <f t="shared" si="30"/>
        <v>6</v>
      </c>
      <c r="G995">
        <f t="shared" si="31"/>
        <v>2020</v>
      </c>
    </row>
    <row r="996" spans="1:7" x14ac:dyDescent="0.25">
      <c r="A996" t="s">
        <v>5</v>
      </c>
      <c r="B996" t="s">
        <v>11</v>
      </c>
      <c r="C996">
        <v>94.74</v>
      </c>
      <c r="D996">
        <v>96.293319999999994</v>
      </c>
      <c r="E996" s="1">
        <v>44013</v>
      </c>
      <c r="F996">
        <f t="shared" si="30"/>
        <v>7</v>
      </c>
      <c r="G996">
        <f t="shared" si="31"/>
        <v>2020</v>
      </c>
    </row>
    <row r="997" spans="1:7" x14ac:dyDescent="0.25">
      <c r="A997" t="s">
        <v>5</v>
      </c>
      <c r="B997" t="s">
        <v>11</v>
      </c>
      <c r="C997">
        <v>98.15</v>
      </c>
      <c r="D997">
        <v>97.722499999999997</v>
      </c>
      <c r="E997" s="1">
        <v>44044</v>
      </c>
      <c r="F997">
        <f t="shared" si="30"/>
        <v>8</v>
      </c>
      <c r="G997">
        <f t="shared" si="31"/>
        <v>2020</v>
      </c>
    </row>
    <row r="998" spans="1:7" x14ac:dyDescent="0.25">
      <c r="A998" t="s">
        <v>5</v>
      </c>
      <c r="B998" t="s">
        <v>11</v>
      </c>
      <c r="C998">
        <v>102.08</v>
      </c>
      <c r="D998">
        <v>103.673</v>
      </c>
      <c r="E998" s="1">
        <v>44075</v>
      </c>
      <c r="F998">
        <f t="shared" si="30"/>
        <v>9</v>
      </c>
      <c r="G998">
        <f t="shared" si="31"/>
        <v>2020</v>
      </c>
    </row>
    <row r="999" spans="1:7" x14ac:dyDescent="0.25">
      <c r="A999" t="s">
        <v>5</v>
      </c>
      <c r="B999" t="s">
        <v>11</v>
      </c>
      <c r="C999">
        <v>101.7</v>
      </c>
      <c r="D999">
        <v>101.00821999999999</v>
      </c>
      <c r="E999" s="1">
        <v>44105</v>
      </c>
      <c r="F999">
        <f t="shared" si="30"/>
        <v>10</v>
      </c>
      <c r="G999">
        <f t="shared" si="31"/>
        <v>2020</v>
      </c>
    </row>
    <row r="1000" spans="1:7" x14ac:dyDescent="0.25">
      <c r="A1000" t="s">
        <v>5</v>
      </c>
      <c r="B1000" t="s">
        <v>11</v>
      </c>
      <c r="C1000">
        <v>102.22</v>
      </c>
      <c r="D1000">
        <v>99.344080000000005</v>
      </c>
      <c r="E1000" s="1">
        <v>44136</v>
      </c>
      <c r="F1000">
        <f t="shared" si="30"/>
        <v>11</v>
      </c>
      <c r="G1000">
        <f t="shared" si="31"/>
        <v>2020</v>
      </c>
    </row>
    <row r="1001" spans="1:7" x14ac:dyDescent="0.25">
      <c r="A1001" t="s">
        <v>5</v>
      </c>
      <c r="B1001" t="s">
        <v>11</v>
      </c>
      <c r="C1001">
        <v>103.83</v>
      </c>
      <c r="D1001">
        <v>117.91981</v>
      </c>
      <c r="E1001" s="1">
        <v>44166</v>
      </c>
      <c r="F1001">
        <f t="shared" si="30"/>
        <v>12</v>
      </c>
      <c r="G1001">
        <f t="shared" si="31"/>
        <v>2020</v>
      </c>
    </row>
    <row r="1002" spans="1:7" x14ac:dyDescent="0.25">
      <c r="A1002" t="s">
        <v>5</v>
      </c>
      <c r="B1002" t="s">
        <v>11</v>
      </c>
      <c r="C1002">
        <v>97.29</v>
      </c>
      <c r="D1002">
        <v>94.915999999999997</v>
      </c>
      <c r="E1002" s="1">
        <v>44197</v>
      </c>
      <c r="F1002">
        <f t="shared" si="30"/>
        <v>1</v>
      </c>
      <c r="G1002">
        <f t="shared" si="31"/>
        <v>2021</v>
      </c>
    </row>
    <row r="1003" spans="1:7" x14ac:dyDescent="0.25">
      <c r="A1003" t="s">
        <v>5</v>
      </c>
      <c r="B1003" t="s">
        <v>11</v>
      </c>
      <c r="C1003">
        <v>102.42</v>
      </c>
      <c r="D1003">
        <v>94.352519999999998</v>
      </c>
      <c r="E1003" s="1">
        <v>44228</v>
      </c>
      <c r="F1003">
        <f t="shared" si="30"/>
        <v>2</v>
      </c>
      <c r="G1003">
        <f t="shared" si="31"/>
        <v>2021</v>
      </c>
    </row>
    <row r="1004" spans="1:7" x14ac:dyDescent="0.25">
      <c r="A1004" t="s">
        <v>5</v>
      </c>
      <c r="B1004" t="s">
        <v>11</v>
      </c>
      <c r="C1004">
        <v>102.99</v>
      </c>
      <c r="D1004">
        <v>104.15873999999999</v>
      </c>
      <c r="E1004" s="1">
        <v>44256</v>
      </c>
      <c r="F1004">
        <f t="shared" si="30"/>
        <v>3</v>
      </c>
      <c r="G1004">
        <f t="shared" si="31"/>
        <v>2021</v>
      </c>
    </row>
    <row r="1005" spans="1:7" x14ac:dyDescent="0.25">
      <c r="A1005" t="s">
        <v>5</v>
      </c>
      <c r="B1005" t="s">
        <v>11</v>
      </c>
      <c r="C1005">
        <v>105.62</v>
      </c>
      <c r="D1005">
        <v>101.70747</v>
      </c>
      <c r="E1005" s="1">
        <v>44287</v>
      </c>
      <c r="F1005">
        <f t="shared" si="30"/>
        <v>4</v>
      </c>
      <c r="G1005">
        <f t="shared" si="31"/>
        <v>2021</v>
      </c>
    </row>
    <row r="1006" spans="1:7" x14ac:dyDescent="0.25">
      <c r="A1006" t="s">
        <v>5</v>
      </c>
      <c r="B1006" t="s">
        <v>11</v>
      </c>
      <c r="C1006">
        <v>104.19</v>
      </c>
      <c r="D1006">
        <v>102.65295999999999</v>
      </c>
      <c r="E1006" s="1">
        <v>44317</v>
      </c>
      <c r="F1006">
        <f t="shared" si="30"/>
        <v>5</v>
      </c>
      <c r="G1006">
        <f t="shared" si="31"/>
        <v>2021</v>
      </c>
    </row>
    <row r="1007" spans="1:7" x14ac:dyDescent="0.25">
      <c r="A1007" t="s">
        <v>5</v>
      </c>
      <c r="B1007" t="s">
        <v>11</v>
      </c>
      <c r="C1007">
        <v>103.94</v>
      </c>
      <c r="D1007">
        <v>105.57362999999999</v>
      </c>
      <c r="E1007" s="1">
        <v>44348</v>
      </c>
      <c r="F1007">
        <f t="shared" si="30"/>
        <v>6</v>
      </c>
      <c r="G1007">
        <f t="shared" si="31"/>
        <v>2021</v>
      </c>
    </row>
    <row r="1008" spans="1:7" x14ac:dyDescent="0.25">
      <c r="A1008" t="s">
        <v>5</v>
      </c>
      <c r="B1008" t="s">
        <v>11</v>
      </c>
      <c r="C1008">
        <v>106.39</v>
      </c>
      <c r="D1008">
        <v>106.98779</v>
      </c>
      <c r="E1008" s="1">
        <v>44378</v>
      </c>
      <c r="F1008">
        <f t="shared" si="30"/>
        <v>7</v>
      </c>
      <c r="G1008">
        <f t="shared" si="31"/>
        <v>2021</v>
      </c>
    </row>
    <row r="1009" spans="1:7" x14ac:dyDescent="0.25">
      <c r="A1009" t="s">
        <v>5</v>
      </c>
      <c r="B1009" t="s">
        <v>11</v>
      </c>
      <c r="C1009">
        <v>107.7</v>
      </c>
      <c r="D1009">
        <v>109.08916000000001</v>
      </c>
      <c r="E1009" s="1">
        <v>44409</v>
      </c>
      <c r="F1009">
        <f t="shared" si="30"/>
        <v>8</v>
      </c>
      <c r="G1009">
        <f t="shared" si="31"/>
        <v>2021</v>
      </c>
    </row>
    <row r="1010" spans="1:7" x14ac:dyDescent="0.25">
      <c r="A1010" t="s">
        <v>5</v>
      </c>
      <c r="B1010" t="s">
        <v>11</v>
      </c>
      <c r="C1010">
        <v>101.17</v>
      </c>
      <c r="D1010">
        <v>102.05922</v>
      </c>
      <c r="E1010" s="1">
        <v>44440</v>
      </c>
      <c r="F1010">
        <f t="shared" si="30"/>
        <v>9</v>
      </c>
      <c r="G1010">
        <f t="shared" si="31"/>
        <v>2021</v>
      </c>
    </row>
    <row r="1011" spans="1:7" x14ac:dyDescent="0.25">
      <c r="A1011" t="s">
        <v>5</v>
      </c>
      <c r="B1011" t="s">
        <v>11</v>
      </c>
      <c r="C1011">
        <v>96.55</v>
      </c>
      <c r="D1011">
        <v>94.795330000000007</v>
      </c>
      <c r="E1011" s="1">
        <v>44470</v>
      </c>
      <c r="F1011">
        <f t="shared" si="30"/>
        <v>10</v>
      </c>
      <c r="G1011">
        <f t="shared" si="31"/>
        <v>2021</v>
      </c>
    </row>
    <row r="1012" spans="1:7" x14ac:dyDescent="0.25">
      <c r="A1012" t="s">
        <v>5</v>
      </c>
      <c r="B1012" t="s">
        <v>11</v>
      </c>
      <c r="C1012">
        <v>98.09</v>
      </c>
      <c r="D1012">
        <v>96.37133</v>
      </c>
      <c r="E1012" s="1">
        <v>44501</v>
      </c>
      <c r="F1012">
        <f t="shared" si="30"/>
        <v>11</v>
      </c>
      <c r="G1012">
        <f t="shared" si="31"/>
        <v>2021</v>
      </c>
    </row>
    <row r="1013" spans="1:7" x14ac:dyDescent="0.25">
      <c r="A1013" t="s">
        <v>5</v>
      </c>
      <c r="B1013" t="s">
        <v>11</v>
      </c>
      <c r="C1013">
        <v>99.44</v>
      </c>
      <c r="D1013">
        <v>112.52616</v>
      </c>
      <c r="E1013" s="1">
        <v>44531</v>
      </c>
      <c r="F1013">
        <f t="shared" si="30"/>
        <v>12</v>
      </c>
      <c r="G1013">
        <f t="shared" si="31"/>
        <v>2021</v>
      </c>
    </row>
    <row r="1014" spans="1:7" x14ac:dyDescent="0.25">
      <c r="A1014" t="s">
        <v>5</v>
      </c>
      <c r="B1014" t="s">
        <v>11</v>
      </c>
      <c r="C1014">
        <v>98.99</v>
      </c>
      <c r="D1014">
        <v>96.16328</v>
      </c>
      <c r="E1014" s="1">
        <v>44562</v>
      </c>
      <c r="F1014">
        <f t="shared" si="30"/>
        <v>1</v>
      </c>
      <c r="G1014">
        <f t="shared" si="31"/>
        <v>2022</v>
      </c>
    </row>
    <row r="1015" spans="1:7" x14ac:dyDescent="0.25">
      <c r="A1015" t="s">
        <v>5</v>
      </c>
      <c r="B1015" t="s">
        <v>11</v>
      </c>
      <c r="C1015">
        <v>98.43</v>
      </c>
      <c r="D1015">
        <v>90.716880000000003</v>
      </c>
      <c r="E1015" s="1">
        <v>44593</v>
      </c>
      <c r="F1015">
        <f t="shared" si="30"/>
        <v>2</v>
      </c>
      <c r="G1015">
        <f t="shared" si="31"/>
        <v>2022</v>
      </c>
    </row>
    <row r="1016" spans="1:7" x14ac:dyDescent="0.25">
      <c r="A1016" t="s">
        <v>5</v>
      </c>
      <c r="B1016" t="s">
        <v>11</v>
      </c>
      <c r="C1016">
        <v>98.28</v>
      </c>
      <c r="D1016">
        <v>99.529690000000002</v>
      </c>
      <c r="E1016" s="1">
        <v>44621</v>
      </c>
      <c r="F1016">
        <f t="shared" si="30"/>
        <v>3</v>
      </c>
      <c r="G1016">
        <f t="shared" si="31"/>
        <v>2022</v>
      </c>
    </row>
    <row r="1017" spans="1:7" x14ac:dyDescent="0.25">
      <c r="A1017" t="s">
        <v>5</v>
      </c>
      <c r="B1017" t="s">
        <v>11</v>
      </c>
      <c r="C1017">
        <v>96.76</v>
      </c>
      <c r="D1017">
        <v>92.319749999999999</v>
      </c>
      <c r="E1017" s="1">
        <v>44652</v>
      </c>
      <c r="F1017">
        <f t="shared" si="30"/>
        <v>4</v>
      </c>
      <c r="G1017">
        <f t="shared" si="31"/>
        <v>2022</v>
      </c>
    </row>
    <row r="1018" spans="1:7" x14ac:dyDescent="0.25">
      <c r="A1018" t="s">
        <v>5</v>
      </c>
      <c r="B1018" t="s">
        <v>11</v>
      </c>
      <c r="C1018">
        <v>98.8</v>
      </c>
      <c r="D1018">
        <v>98.671080000000003</v>
      </c>
      <c r="E1018" s="1">
        <v>44682</v>
      </c>
      <c r="F1018">
        <f t="shared" si="30"/>
        <v>5</v>
      </c>
      <c r="G1018">
        <f t="shared" si="31"/>
        <v>2022</v>
      </c>
    </row>
    <row r="1019" spans="1:7" x14ac:dyDescent="0.25">
      <c r="A1019" t="s">
        <v>5</v>
      </c>
      <c r="B1019" t="s">
        <v>11</v>
      </c>
      <c r="C1019">
        <v>99.45</v>
      </c>
      <c r="D1019">
        <v>100.67619999999999</v>
      </c>
      <c r="E1019" s="1">
        <v>44713</v>
      </c>
      <c r="F1019">
        <f t="shared" si="30"/>
        <v>6</v>
      </c>
      <c r="G1019">
        <f t="shared" si="31"/>
        <v>2022</v>
      </c>
    </row>
    <row r="1020" spans="1:7" x14ac:dyDescent="0.25">
      <c r="A1020" t="s">
        <v>5</v>
      </c>
      <c r="B1020" t="s">
        <v>11</v>
      </c>
      <c r="C1020">
        <v>94.02</v>
      </c>
      <c r="D1020">
        <v>94.086650000000006</v>
      </c>
      <c r="E1020" s="1">
        <v>44743</v>
      </c>
      <c r="F1020">
        <f t="shared" si="30"/>
        <v>7</v>
      </c>
      <c r="G1020">
        <f t="shared" si="31"/>
        <v>2022</v>
      </c>
    </row>
    <row r="1021" spans="1:7" x14ac:dyDescent="0.25">
      <c r="A1021" t="s">
        <v>5</v>
      </c>
      <c r="B1021" t="s">
        <v>11</v>
      </c>
      <c r="C1021">
        <v>103.31</v>
      </c>
      <c r="D1021">
        <v>106.58335</v>
      </c>
      <c r="E1021" s="1">
        <v>44774</v>
      </c>
      <c r="F1021">
        <f t="shared" si="30"/>
        <v>8</v>
      </c>
      <c r="G1021">
        <f t="shared" si="31"/>
        <v>2022</v>
      </c>
    </row>
    <row r="1022" spans="1:7" x14ac:dyDescent="0.25">
      <c r="A1022" t="s">
        <v>5</v>
      </c>
      <c r="B1022" t="s">
        <v>11</v>
      </c>
      <c r="C1022">
        <v>99.85</v>
      </c>
      <c r="D1022">
        <v>99.823139999999995</v>
      </c>
      <c r="E1022" s="1">
        <v>44805</v>
      </c>
      <c r="F1022">
        <f t="shared" si="30"/>
        <v>9</v>
      </c>
      <c r="G1022">
        <f t="shared" si="31"/>
        <v>2022</v>
      </c>
    </row>
    <row r="1023" spans="1:7" x14ac:dyDescent="0.25">
      <c r="A1023" t="s">
        <v>5</v>
      </c>
      <c r="B1023" t="s">
        <v>11</v>
      </c>
      <c r="C1023">
        <v>103.17</v>
      </c>
      <c r="D1023">
        <v>100.88488</v>
      </c>
      <c r="E1023" s="1">
        <v>44835</v>
      </c>
      <c r="F1023">
        <f t="shared" si="30"/>
        <v>10</v>
      </c>
      <c r="G1023">
        <f t="shared" si="31"/>
        <v>2022</v>
      </c>
    </row>
    <row r="1024" spans="1:7" x14ac:dyDescent="0.25">
      <c r="A1024" t="s">
        <v>5</v>
      </c>
      <c r="B1024" t="s">
        <v>11</v>
      </c>
      <c r="C1024">
        <v>97.56</v>
      </c>
      <c r="D1024">
        <v>96.647999999999996</v>
      </c>
      <c r="E1024" s="1">
        <v>44866</v>
      </c>
      <c r="F1024">
        <f t="shared" si="30"/>
        <v>11</v>
      </c>
      <c r="G1024">
        <f t="shared" si="31"/>
        <v>2022</v>
      </c>
    </row>
    <row r="1025" spans="1:7" x14ac:dyDescent="0.25">
      <c r="A1025" t="s">
        <v>5</v>
      </c>
      <c r="B1025" t="s">
        <v>11</v>
      </c>
      <c r="C1025">
        <v>111.34</v>
      </c>
      <c r="D1025">
        <v>123.89708</v>
      </c>
      <c r="E1025" s="1">
        <v>44896</v>
      </c>
      <c r="F1025">
        <f t="shared" si="30"/>
        <v>12</v>
      </c>
      <c r="G1025">
        <f t="shared" si="31"/>
        <v>2022</v>
      </c>
    </row>
    <row r="1026" spans="1:7" x14ac:dyDescent="0.25">
      <c r="A1026" t="s">
        <v>5</v>
      </c>
      <c r="B1026" t="s">
        <v>11</v>
      </c>
      <c r="C1026">
        <v>98.75</v>
      </c>
      <c r="D1026">
        <v>96.669920000000005</v>
      </c>
      <c r="E1026" s="1">
        <v>44927</v>
      </c>
      <c r="F1026">
        <f t="shared" ref="F1026:F1089" si="32">MONTH(E1026)</f>
        <v>1</v>
      </c>
      <c r="G1026">
        <f t="shared" ref="G1026:G1089" si="33">YEAR(E1026)</f>
        <v>2023</v>
      </c>
    </row>
    <row r="1027" spans="1:7" x14ac:dyDescent="0.25">
      <c r="A1027" t="s">
        <v>5</v>
      </c>
      <c r="B1027" t="s">
        <v>11</v>
      </c>
      <c r="C1027">
        <v>98.79</v>
      </c>
      <c r="D1027">
        <v>91.259349999999998</v>
      </c>
      <c r="E1027" s="1">
        <v>44958</v>
      </c>
      <c r="F1027">
        <f t="shared" si="32"/>
        <v>2</v>
      </c>
      <c r="G1027">
        <f t="shared" si="33"/>
        <v>2023</v>
      </c>
    </row>
    <row r="1028" spans="1:7" x14ac:dyDescent="0.25">
      <c r="A1028" t="s">
        <v>5</v>
      </c>
      <c r="B1028" t="s">
        <v>11</v>
      </c>
      <c r="C1028">
        <v>98.86</v>
      </c>
      <c r="D1028">
        <v>100.10772</v>
      </c>
      <c r="E1028" s="1">
        <v>44986</v>
      </c>
      <c r="F1028">
        <f t="shared" si="32"/>
        <v>3</v>
      </c>
      <c r="G1028">
        <f t="shared" si="33"/>
        <v>2023</v>
      </c>
    </row>
    <row r="1029" spans="1:7" x14ac:dyDescent="0.25">
      <c r="A1029" t="s">
        <v>5</v>
      </c>
      <c r="B1029" t="s">
        <v>11</v>
      </c>
      <c r="C1029">
        <v>96.94</v>
      </c>
      <c r="D1029">
        <v>91.734459999999999</v>
      </c>
      <c r="E1029" s="1">
        <v>45017</v>
      </c>
      <c r="F1029">
        <f t="shared" si="32"/>
        <v>4</v>
      </c>
      <c r="G1029">
        <f t="shared" si="33"/>
        <v>2023</v>
      </c>
    </row>
    <row r="1030" spans="1:7" x14ac:dyDescent="0.25">
      <c r="A1030" t="s">
        <v>5</v>
      </c>
      <c r="B1030" t="s">
        <v>11</v>
      </c>
      <c r="C1030">
        <v>97.92</v>
      </c>
      <c r="D1030">
        <v>99.343490000000003</v>
      </c>
      <c r="E1030" s="1">
        <v>45047</v>
      </c>
      <c r="F1030">
        <f t="shared" si="32"/>
        <v>5</v>
      </c>
      <c r="G1030">
        <f t="shared" si="33"/>
        <v>2023</v>
      </c>
    </row>
    <row r="1031" spans="1:7" x14ac:dyDescent="0.25">
      <c r="A1031" t="s">
        <v>5</v>
      </c>
      <c r="B1031" t="s">
        <v>11</v>
      </c>
      <c r="C1031">
        <v>98.47</v>
      </c>
      <c r="D1031">
        <v>99.170820000000006</v>
      </c>
      <c r="E1031" s="1">
        <v>45078</v>
      </c>
      <c r="F1031">
        <f t="shared" si="32"/>
        <v>6</v>
      </c>
      <c r="G1031">
        <f t="shared" si="33"/>
        <v>2023</v>
      </c>
    </row>
    <row r="1032" spans="1:7" x14ac:dyDescent="0.25">
      <c r="A1032" t="s">
        <v>5</v>
      </c>
      <c r="B1032" t="s">
        <v>11</v>
      </c>
      <c r="C1032">
        <v>98.44</v>
      </c>
      <c r="D1032">
        <v>98.075209999999998</v>
      </c>
      <c r="E1032" s="1">
        <v>45108</v>
      </c>
      <c r="F1032">
        <f t="shared" si="32"/>
        <v>7</v>
      </c>
      <c r="G1032">
        <f t="shared" si="33"/>
        <v>2023</v>
      </c>
    </row>
    <row r="1033" spans="1:7" x14ac:dyDescent="0.25">
      <c r="A1033" t="s">
        <v>5</v>
      </c>
      <c r="B1033" t="s">
        <v>11</v>
      </c>
      <c r="C1033">
        <v>96.73</v>
      </c>
      <c r="D1033">
        <v>100.15935</v>
      </c>
      <c r="E1033" s="1">
        <v>45139</v>
      </c>
      <c r="F1033">
        <f t="shared" si="32"/>
        <v>8</v>
      </c>
      <c r="G1033">
        <f t="shared" si="33"/>
        <v>2023</v>
      </c>
    </row>
    <row r="1034" spans="1:7" x14ac:dyDescent="0.25">
      <c r="A1034" t="s">
        <v>5</v>
      </c>
      <c r="B1034" t="s">
        <v>11</v>
      </c>
      <c r="C1034">
        <v>96.25</v>
      </c>
      <c r="D1034">
        <v>95.206699999999998</v>
      </c>
      <c r="E1034" s="1">
        <v>45170</v>
      </c>
      <c r="F1034">
        <f t="shared" si="32"/>
        <v>9</v>
      </c>
      <c r="G1034">
        <f t="shared" si="33"/>
        <v>2023</v>
      </c>
    </row>
    <row r="1035" spans="1:7" x14ac:dyDescent="0.25">
      <c r="A1035" t="s">
        <v>5</v>
      </c>
      <c r="B1035" t="s">
        <v>11</v>
      </c>
      <c r="C1035">
        <v>97.95</v>
      </c>
      <c r="D1035">
        <v>96.853200000000001</v>
      </c>
      <c r="E1035" s="1">
        <v>45200</v>
      </c>
      <c r="F1035">
        <f t="shared" si="32"/>
        <v>10</v>
      </c>
      <c r="G1035">
        <f t="shared" si="33"/>
        <v>2023</v>
      </c>
    </row>
    <row r="1036" spans="1:7" x14ac:dyDescent="0.25">
      <c r="A1036" t="s">
        <v>5</v>
      </c>
      <c r="B1036" t="s">
        <v>11</v>
      </c>
      <c r="C1036">
        <v>100.94</v>
      </c>
      <c r="D1036">
        <v>99.849559999999997</v>
      </c>
      <c r="E1036" s="1">
        <v>45231</v>
      </c>
      <c r="F1036">
        <f t="shared" si="32"/>
        <v>11</v>
      </c>
      <c r="G1036">
        <f t="shared" si="33"/>
        <v>2023</v>
      </c>
    </row>
    <row r="1037" spans="1:7" x14ac:dyDescent="0.25">
      <c r="A1037" t="s">
        <v>5</v>
      </c>
      <c r="B1037" t="s">
        <v>11</v>
      </c>
      <c r="C1037">
        <v>100.3</v>
      </c>
      <c r="D1037">
        <v>110.48882</v>
      </c>
      <c r="E1037" s="1">
        <v>45261</v>
      </c>
      <c r="F1037">
        <f t="shared" si="32"/>
        <v>12</v>
      </c>
      <c r="G1037">
        <f t="shared" si="33"/>
        <v>2023</v>
      </c>
    </row>
    <row r="1038" spans="1:7" x14ac:dyDescent="0.25">
      <c r="A1038" t="s">
        <v>5</v>
      </c>
      <c r="B1038" t="s">
        <v>11</v>
      </c>
      <c r="C1038">
        <v>99.42</v>
      </c>
      <c r="D1038">
        <v>98.326719999999995</v>
      </c>
      <c r="E1038" s="1">
        <v>45292</v>
      </c>
      <c r="F1038">
        <f t="shared" si="32"/>
        <v>1</v>
      </c>
      <c r="G1038">
        <f t="shared" si="33"/>
        <v>2024</v>
      </c>
    </row>
    <row r="1039" spans="1:7" x14ac:dyDescent="0.25">
      <c r="A1039" t="s">
        <v>5</v>
      </c>
      <c r="B1039" t="s">
        <v>11</v>
      </c>
      <c r="C1039">
        <v>98.54</v>
      </c>
      <c r="D1039">
        <v>94.600719999999995</v>
      </c>
      <c r="E1039" s="1">
        <v>45323</v>
      </c>
      <c r="F1039">
        <f t="shared" si="32"/>
        <v>2</v>
      </c>
      <c r="G1039">
        <f t="shared" si="33"/>
        <v>2024</v>
      </c>
    </row>
    <row r="1040" spans="1:7" x14ac:dyDescent="0.25">
      <c r="A1040" t="s">
        <v>5</v>
      </c>
      <c r="B1040" t="s">
        <v>11</v>
      </c>
      <c r="C1040">
        <v>99.15</v>
      </c>
      <c r="D1040">
        <v>97.669409999999999</v>
      </c>
      <c r="E1040" s="1">
        <v>45352</v>
      </c>
      <c r="F1040">
        <f t="shared" si="32"/>
        <v>3</v>
      </c>
      <c r="G1040">
        <f t="shared" si="33"/>
        <v>2024</v>
      </c>
    </row>
    <row r="1041" spans="1:7" x14ac:dyDescent="0.25">
      <c r="A1041" t="s">
        <v>5</v>
      </c>
      <c r="B1041" t="s">
        <v>11</v>
      </c>
      <c r="C1041">
        <v>101.49</v>
      </c>
      <c r="D1041">
        <v>98.792919999999995</v>
      </c>
      <c r="E1041" s="1">
        <v>45383</v>
      </c>
      <c r="F1041">
        <f t="shared" si="32"/>
        <v>4</v>
      </c>
      <c r="G1041">
        <f t="shared" si="33"/>
        <v>2024</v>
      </c>
    </row>
    <row r="1042" spans="1:7" x14ac:dyDescent="0.25">
      <c r="A1042" t="s">
        <v>5</v>
      </c>
      <c r="B1042" t="s">
        <v>11</v>
      </c>
      <c r="C1042">
        <v>98.96</v>
      </c>
      <c r="D1042">
        <v>99.549260000000004</v>
      </c>
      <c r="E1042" s="1">
        <v>45413</v>
      </c>
      <c r="F1042">
        <f t="shared" si="32"/>
        <v>5</v>
      </c>
      <c r="G1042">
        <f t="shared" si="33"/>
        <v>2024</v>
      </c>
    </row>
    <row r="1043" spans="1:7" x14ac:dyDescent="0.25">
      <c r="A1043" t="s">
        <v>5</v>
      </c>
      <c r="B1043" t="s">
        <v>11</v>
      </c>
      <c r="C1043">
        <v>98.42</v>
      </c>
      <c r="D1043">
        <v>98.248459999999994</v>
      </c>
      <c r="E1043" s="1">
        <v>45444</v>
      </c>
      <c r="F1043">
        <f t="shared" si="32"/>
        <v>6</v>
      </c>
      <c r="G1043">
        <f t="shared" si="33"/>
        <v>2024</v>
      </c>
    </row>
    <row r="1044" spans="1:7" x14ac:dyDescent="0.25">
      <c r="A1044" t="s">
        <v>5</v>
      </c>
      <c r="B1044" t="s">
        <v>11</v>
      </c>
      <c r="C1044">
        <v>98.14</v>
      </c>
      <c r="D1044">
        <v>99.983459999999994</v>
      </c>
      <c r="E1044" s="1">
        <v>45474</v>
      </c>
      <c r="F1044">
        <f t="shared" si="32"/>
        <v>7</v>
      </c>
      <c r="G1044">
        <f t="shared" si="33"/>
        <v>2024</v>
      </c>
    </row>
    <row r="1045" spans="1:7" x14ac:dyDescent="0.25">
      <c r="A1045" t="s">
        <v>5</v>
      </c>
      <c r="B1045" t="s">
        <v>11</v>
      </c>
      <c r="C1045">
        <v>99.86</v>
      </c>
      <c r="D1045">
        <v>101.78443</v>
      </c>
      <c r="E1045" s="1">
        <v>45505</v>
      </c>
      <c r="F1045">
        <f t="shared" si="32"/>
        <v>8</v>
      </c>
      <c r="G1045">
        <f t="shared" si="33"/>
        <v>2024</v>
      </c>
    </row>
    <row r="1046" spans="1:7" x14ac:dyDescent="0.25">
      <c r="A1046" t="s">
        <v>5</v>
      </c>
      <c r="B1046" t="s">
        <v>11</v>
      </c>
      <c r="C1046">
        <v>98.07</v>
      </c>
      <c r="D1046">
        <v>96.679599999999994</v>
      </c>
      <c r="E1046" s="1">
        <v>45536</v>
      </c>
      <c r="F1046">
        <f t="shared" si="32"/>
        <v>9</v>
      </c>
      <c r="G1046">
        <f t="shared" si="33"/>
        <v>2024</v>
      </c>
    </row>
    <row r="1047" spans="1:7" x14ac:dyDescent="0.25">
      <c r="A1047" t="s">
        <v>5</v>
      </c>
      <c r="B1047" t="s">
        <v>11</v>
      </c>
      <c r="C1047">
        <v>97.04</v>
      </c>
      <c r="D1047">
        <v>97.252449999999996</v>
      </c>
      <c r="E1047" s="1">
        <v>45566</v>
      </c>
      <c r="F1047">
        <f t="shared" si="32"/>
        <v>10</v>
      </c>
      <c r="G1047">
        <f t="shared" si="33"/>
        <v>2024</v>
      </c>
    </row>
    <row r="1048" spans="1:7" x14ac:dyDescent="0.25">
      <c r="A1048" t="s">
        <v>5</v>
      </c>
      <c r="B1048" t="s">
        <v>11</v>
      </c>
      <c r="C1048">
        <v>98.46</v>
      </c>
      <c r="D1048">
        <v>96.434719999999999</v>
      </c>
      <c r="E1048" s="1">
        <v>45597</v>
      </c>
      <c r="F1048">
        <f t="shared" si="32"/>
        <v>11</v>
      </c>
      <c r="G1048">
        <f t="shared" si="33"/>
        <v>2024</v>
      </c>
    </row>
    <row r="1049" spans="1:7" x14ac:dyDescent="0.25">
      <c r="A1049" t="s">
        <v>5</v>
      </c>
      <c r="B1049" t="s">
        <v>11</v>
      </c>
      <c r="C1049">
        <v>93.8</v>
      </c>
      <c r="D1049">
        <v>104.20371</v>
      </c>
      <c r="E1049" s="1">
        <v>45627</v>
      </c>
      <c r="F1049">
        <f t="shared" si="32"/>
        <v>12</v>
      </c>
      <c r="G1049">
        <f t="shared" si="33"/>
        <v>2024</v>
      </c>
    </row>
    <row r="1050" spans="1:7" x14ac:dyDescent="0.25">
      <c r="A1050" t="s">
        <v>5</v>
      </c>
      <c r="B1050" t="s">
        <v>11</v>
      </c>
      <c r="C1050">
        <v>96.76</v>
      </c>
      <c r="D1050">
        <v>95.29965</v>
      </c>
      <c r="E1050" s="1">
        <v>45658</v>
      </c>
      <c r="F1050">
        <f t="shared" si="32"/>
        <v>1</v>
      </c>
      <c r="G1050">
        <f t="shared" si="33"/>
        <v>2025</v>
      </c>
    </row>
    <row r="1051" spans="1:7" x14ac:dyDescent="0.25">
      <c r="A1051" t="s">
        <v>5</v>
      </c>
      <c r="B1051" t="s">
        <v>11</v>
      </c>
      <c r="C1051">
        <v>99.33</v>
      </c>
      <c r="D1051">
        <v>95.13503</v>
      </c>
      <c r="E1051" s="1">
        <v>45689</v>
      </c>
      <c r="F1051">
        <f t="shared" si="32"/>
        <v>2</v>
      </c>
      <c r="G1051">
        <f t="shared" si="33"/>
        <v>2025</v>
      </c>
    </row>
    <row r="1052" spans="1:7" x14ac:dyDescent="0.25">
      <c r="A1052" t="s">
        <v>5</v>
      </c>
      <c r="B1052" t="s">
        <v>11</v>
      </c>
      <c r="C1052">
        <v>98.43</v>
      </c>
      <c r="D1052">
        <v>94.978890000000007</v>
      </c>
      <c r="E1052" s="1">
        <v>45717</v>
      </c>
      <c r="F1052">
        <f t="shared" si="32"/>
        <v>3</v>
      </c>
      <c r="G1052">
        <f t="shared" si="33"/>
        <v>2025</v>
      </c>
    </row>
    <row r="1053" spans="1:7" x14ac:dyDescent="0.25">
      <c r="A1053" t="s">
        <v>5</v>
      </c>
      <c r="B1053" t="s">
        <v>11</v>
      </c>
      <c r="C1053">
        <v>96.43</v>
      </c>
      <c r="D1053">
        <v>93.776960000000003</v>
      </c>
      <c r="E1053" s="1">
        <v>45748</v>
      </c>
      <c r="F1053">
        <f t="shared" si="32"/>
        <v>4</v>
      </c>
      <c r="G1053">
        <f t="shared" si="33"/>
        <v>2025</v>
      </c>
    </row>
    <row r="1054" spans="1:7" x14ac:dyDescent="0.25">
      <c r="A1054" t="s">
        <v>5</v>
      </c>
      <c r="B1054" t="s">
        <v>11</v>
      </c>
      <c r="C1054">
        <v>98.16</v>
      </c>
      <c r="D1054">
        <v>98.151740000000004</v>
      </c>
      <c r="E1054" s="1">
        <v>45778</v>
      </c>
      <c r="F1054">
        <f t="shared" si="32"/>
        <v>5</v>
      </c>
      <c r="G1054">
        <f t="shared" si="33"/>
        <v>2025</v>
      </c>
    </row>
    <row r="1055" spans="1:7" x14ac:dyDescent="0.25">
      <c r="A1055" t="s">
        <v>5</v>
      </c>
      <c r="B1055" t="s">
        <v>11</v>
      </c>
      <c r="C1055">
        <v>97.16</v>
      </c>
      <c r="D1055">
        <v>96.801839999999999</v>
      </c>
      <c r="E1055" s="1">
        <v>45809</v>
      </c>
      <c r="F1055">
        <f t="shared" si="32"/>
        <v>6</v>
      </c>
      <c r="G1055">
        <f t="shared" si="33"/>
        <v>2025</v>
      </c>
    </row>
    <row r="1056" spans="1:7" x14ac:dyDescent="0.25">
      <c r="A1056" t="s">
        <v>5</v>
      </c>
      <c r="B1056" t="s">
        <v>11</v>
      </c>
      <c r="C1056">
        <v>96.88</v>
      </c>
      <c r="D1056">
        <v>98.340459999999993</v>
      </c>
      <c r="E1056" s="1">
        <v>45839</v>
      </c>
      <c r="F1056">
        <f t="shared" si="32"/>
        <v>7</v>
      </c>
      <c r="G1056">
        <f t="shared" si="33"/>
        <v>2025</v>
      </c>
    </row>
    <row r="1057" spans="1:7" x14ac:dyDescent="0.25">
      <c r="A1057" t="s">
        <v>5</v>
      </c>
      <c r="B1057" t="s">
        <v>11</v>
      </c>
      <c r="C1057">
        <v>97.73</v>
      </c>
      <c r="D1057">
        <v>99.075410000000005</v>
      </c>
      <c r="E1057" s="1">
        <v>45870</v>
      </c>
      <c r="F1057">
        <f t="shared" si="32"/>
        <v>8</v>
      </c>
      <c r="G1057">
        <f t="shared" si="33"/>
        <v>2025</v>
      </c>
    </row>
    <row r="1058" spans="1:7" x14ac:dyDescent="0.25">
      <c r="A1058" t="s">
        <v>12</v>
      </c>
      <c r="B1058" t="s">
        <v>11</v>
      </c>
      <c r="C1058">
        <v>106.03</v>
      </c>
      <c r="D1058">
        <v>106.75623</v>
      </c>
      <c r="E1058" s="1">
        <v>40544</v>
      </c>
      <c r="F1058">
        <f t="shared" si="32"/>
        <v>1</v>
      </c>
      <c r="G1058">
        <f t="shared" si="33"/>
        <v>2011</v>
      </c>
    </row>
    <row r="1059" spans="1:7" x14ac:dyDescent="0.25">
      <c r="A1059" t="s">
        <v>12</v>
      </c>
      <c r="B1059" t="s">
        <v>11</v>
      </c>
      <c r="C1059">
        <v>104.45</v>
      </c>
      <c r="D1059">
        <v>102.18034</v>
      </c>
      <c r="E1059" s="1">
        <v>40575</v>
      </c>
      <c r="F1059">
        <f t="shared" si="32"/>
        <v>2</v>
      </c>
      <c r="G1059">
        <f t="shared" si="33"/>
        <v>2011</v>
      </c>
    </row>
    <row r="1060" spans="1:7" x14ac:dyDescent="0.25">
      <c r="A1060" t="s">
        <v>12</v>
      </c>
      <c r="B1060" t="s">
        <v>11</v>
      </c>
      <c r="C1060">
        <v>107.94</v>
      </c>
      <c r="D1060">
        <v>105.76854</v>
      </c>
      <c r="E1060" s="1">
        <v>40603</v>
      </c>
      <c r="F1060">
        <f t="shared" si="32"/>
        <v>3</v>
      </c>
      <c r="G1060">
        <f t="shared" si="33"/>
        <v>2011</v>
      </c>
    </row>
    <row r="1061" spans="1:7" x14ac:dyDescent="0.25">
      <c r="A1061" t="s">
        <v>12</v>
      </c>
      <c r="B1061" t="s">
        <v>11</v>
      </c>
      <c r="C1061">
        <v>105.21</v>
      </c>
      <c r="D1061">
        <v>102.49615</v>
      </c>
      <c r="E1061" s="1">
        <v>40634</v>
      </c>
      <c r="F1061">
        <f t="shared" si="32"/>
        <v>4</v>
      </c>
      <c r="G1061">
        <f t="shared" si="33"/>
        <v>2011</v>
      </c>
    </row>
    <row r="1062" spans="1:7" x14ac:dyDescent="0.25">
      <c r="A1062" t="s">
        <v>12</v>
      </c>
      <c r="B1062" t="s">
        <v>11</v>
      </c>
      <c r="C1062">
        <v>106.87</v>
      </c>
      <c r="D1062">
        <v>108.54499</v>
      </c>
      <c r="E1062" s="1">
        <v>40664</v>
      </c>
      <c r="F1062">
        <f t="shared" si="32"/>
        <v>5</v>
      </c>
      <c r="G1062">
        <f t="shared" si="33"/>
        <v>2011</v>
      </c>
    </row>
    <row r="1063" spans="1:7" x14ac:dyDescent="0.25">
      <c r="A1063" t="s">
        <v>12</v>
      </c>
      <c r="B1063" t="s">
        <v>11</v>
      </c>
      <c r="C1063">
        <v>105</v>
      </c>
      <c r="D1063">
        <v>103.01894</v>
      </c>
      <c r="E1063" s="1">
        <v>40695</v>
      </c>
      <c r="F1063">
        <f t="shared" si="32"/>
        <v>6</v>
      </c>
      <c r="G1063">
        <f t="shared" si="33"/>
        <v>2011</v>
      </c>
    </row>
    <row r="1064" spans="1:7" x14ac:dyDescent="0.25">
      <c r="A1064" t="s">
        <v>12</v>
      </c>
      <c r="B1064" t="s">
        <v>11</v>
      </c>
      <c r="C1064">
        <v>106.25</v>
      </c>
      <c r="D1064">
        <v>102.27003000000001</v>
      </c>
      <c r="E1064" s="1">
        <v>40725</v>
      </c>
      <c r="F1064">
        <f t="shared" si="32"/>
        <v>7</v>
      </c>
      <c r="G1064">
        <f t="shared" si="33"/>
        <v>2011</v>
      </c>
    </row>
    <row r="1065" spans="1:7" x14ac:dyDescent="0.25">
      <c r="A1065" t="s">
        <v>12</v>
      </c>
      <c r="B1065" t="s">
        <v>11</v>
      </c>
      <c r="C1065">
        <v>106.52</v>
      </c>
      <c r="D1065">
        <v>111.31668000000001</v>
      </c>
      <c r="E1065" s="1">
        <v>40756</v>
      </c>
      <c r="F1065">
        <f t="shared" si="32"/>
        <v>8</v>
      </c>
      <c r="G1065">
        <f t="shared" si="33"/>
        <v>2011</v>
      </c>
    </row>
    <row r="1066" spans="1:7" x14ac:dyDescent="0.25">
      <c r="A1066" t="s">
        <v>12</v>
      </c>
      <c r="B1066" t="s">
        <v>11</v>
      </c>
      <c r="C1066">
        <v>102.25</v>
      </c>
      <c r="D1066">
        <v>103.48676</v>
      </c>
      <c r="E1066" s="1">
        <v>40787</v>
      </c>
      <c r="F1066">
        <f t="shared" si="32"/>
        <v>9</v>
      </c>
      <c r="G1066">
        <f t="shared" si="33"/>
        <v>2011</v>
      </c>
    </row>
    <row r="1067" spans="1:7" x14ac:dyDescent="0.25">
      <c r="A1067" t="s">
        <v>12</v>
      </c>
      <c r="B1067" t="s">
        <v>11</v>
      </c>
      <c r="C1067">
        <v>100.04</v>
      </c>
      <c r="D1067">
        <v>100.59604</v>
      </c>
      <c r="E1067" s="1">
        <v>40817</v>
      </c>
      <c r="F1067">
        <f t="shared" si="32"/>
        <v>10</v>
      </c>
      <c r="G1067">
        <f t="shared" si="33"/>
        <v>2011</v>
      </c>
    </row>
    <row r="1068" spans="1:7" x14ac:dyDescent="0.25">
      <c r="A1068" t="s">
        <v>12</v>
      </c>
      <c r="B1068" t="s">
        <v>11</v>
      </c>
      <c r="C1068">
        <v>100.63</v>
      </c>
      <c r="D1068">
        <v>98.213170000000005</v>
      </c>
      <c r="E1068" s="1">
        <v>40848</v>
      </c>
      <c r="F1068">
        <f t="shared" si="32"/>
        <v>11</v>
      </c>
      <c r="G1068">
        <f t="shared" si="33"/>
        <v>2011</v>
      </c>
    </row>
    <row r="1069" spans="1:7" x14ac:dyDescent="0.25">
      <c r="A1069" t="s">
        <v>12</v>
      </c>
      <c r="B1069" t="s">
        <v>11</v>
      </c>
      <c r="C1069">
        <v>101.35</v>
      </c>
      <c r="D1069">
        <v>106.12097</v>
      </c>
      <c r="E1069" s="1">
        <v>40878</v>
      </c>
      <c r="F1069">
        <f t="shared" si="32"/>
        <v>12</v>
      </c>
      <c r="G1069">
        <f t="shared" si="33"/>
        <v>2011</v>
      </c>
    </row>
    <row r="1070" spans="1:7" x14ac:dyDescent="0.25">
      <c r="A1070" t="s">
        <v>12</v>
      </c>
      <c r="B1070" t="s">
        <v>11</v>
      </c>
      <c r="C1070">
        <v>104.33</v>
      </c>
      <c r="D1070">
        <v>106.45822</v>
      </c>
      <c r="E1070" s="1">
        <v>40909</v>
      </c>
      <c r="F1070">
        <f t="shared" si="32"/>
        <v>1</v>
      </c>
      <c r="G1070">
        <f t="shared" si="33"/>
        <v>2012</v>
      </c>
    </row>
    <row r="1071" spans="1:7" x14ac:dyDescent="0.25">
      <c r="A1071" t="s">
        <v>12</v>
      </c>
      <c r="B1071" t="s">
        <v>11</v>
      </c>
      <c r="C1071">
        <v>104.22</v>
      </c>
      <c r="D1071">
        <v>102.77339000000001</v>
      </c>
      <c r="E1071" s="1">
        <v>40940</v>
      </c>
      <c r="F1071">
        <f t="shared" si="32"/>
        <v>2</v>
      </c>
      <c r="G1071">
        <f t="shared" si="33"/>
        <v>2012</v>
      </c>
    </row>
    <row r="1072" spans="1:7" x14ac:dyDescent="0.25">
      <c r="A1072" t="s">
        <v>12</v>
      </c>
      <c r="B1072" t="s">
        <v>11</v>
      </c>
      <c r="C1072">
        <v>104.33</v>
      </c>
      <c r="D1072">
        <v>103.43098000000001</v>
      </c>
      <c r="E1072" s="1">
        <v>40969</v>
      </c>
      <c r="F1072">
        <f t="shared" si="32"/>
        <v>3</v>
      </c>
      <c r="G1072">
        <f t="shared" si="33"/>
        <v>2012</v>
      </c>
    </row>
    <row r="1073" spans="1:7" x14ac:dyDescent="0.25">
      <c r="A1073" t="s">
        <v>12</v>
      </c>
      <c r="B1073" t="s">
        <v>11</v>
      </c>
      <c r="C1073">
        <v>103.44</v>
      </c>
      <c r="D1073">
        <v>100.87726000000001</v>
      </c>
      <c r="E1073" s="1">
        <v>41000</v>
      </c>
      <c r="F1073">
        <f t="shared" si="32"/>
        <v>4</v>
      </c>
      <c r="G1073">
        <f t="shared" si="33"/>
        <v>2012</v>
      </c>
    </row>
    <row r="1074" spans="1:7" x14ac:dyDescent="0.25">
      <c r="A1074" t="s">
        <v>12</v>
      </c>
      <c r="B1074" t="s">
        <v>11</v>
      </c>
      <c r="C1074">
        <v>104.21</v>
      </c>
      <c r="D1074">
        <v>106.46146</v>
      </c>
      <c r="E1074" s="1">
        <v>41030</v>
      </c>
      <c r="F1074">
        <f t="shared" si="32"/>
        <v>5</v>
      </c>
      <c r="G1074">
        <f t="shared" si="33"/>
        <v>2012</v>
      </c>
    </row>
    <row r="1075" spans="1:7" x14ac:dyDescent="0.25">
      <c r="A1075" t="s">
        <v>12</v>
      </c>
      <c r="B1075" t="s">
        <v>11</v>
      </c>
      <c r="C1075">
        <v>104.33</v>
      </c>
      <c r="D1075">
        <v>101.78767999999999</v>
      </c>
      <c r="E1075" s="1">
        <v>41061</v>
      </c>
      <c r="F1075">
        <f t="shared" si="32"/>
        <v>6</v>
      </c>
      <c r="G1075">
        <f t="shared" si="33"/>
        <v>2012</v>
      </c>
    </row>
    <row r="1076" spans="1:7" x14ac:dyDescent="0.25">
      <c r="A1076" t="s">
        <v>12</v>
      </c>
      <c r="B1076" t="s">
        <v>11</v>
      </c>
      <c r="C1076">
        <v>103.77</v>
      </c>
      <c r="D1076">
        <v>100.70128</v>
      </c>
      <c r="E1076" s="1">
        <v>41091</v>
      </c>
      <c r="F1076">
        <f t="shared" si="32"/>
        <v>7</v>
      </c>
      <c r="G1076">
        <f t="shared" si="33"/>
        <v>2012</v>
      </c>
    </row>
    <row r="1077" spans="1:7" x14ac:dyDescent="0.25">
      <c r="A1077" t="s">
        <v>12</v>
      </c>
      <c r="B1077" t="s">
        <v>11</v>
      </c>
      <c r="C1077">
        <v>101.18</v>
      </c>
      <c r="D1077">
        <v>104.69497</v>
      </c>
      <c r="E1077" s="1">
        <v>41122</v>
      </c>
      <c r="F1077">
        <f t="shared" si="32"/>
        <v>8</v>
      </c>
      <c r="G1077">
        <f t="shared" si="33"/>
        <v>2012</v>
      </c>
    </row>
    <row r="1078" spans="1:7" x14ac:dyDescent="0.25">
      <c r="A1078" t="s">
        <v>12</v>
      </c>
      <c r="B1078" t="s">
        <v>11</v>
      </c>
      <c r="C1078">
        <v>102.93</v>
      </c>
      <c r="D1078">
        <v>103.70757</v>
      </c>
      <c r="E1078" s="1">
        <v>41153</v>
      </c>
      <c r="F1078">
        <f t="shared" si="32"/>
        <v>9</v>
      </c>
      <c r="G1078">
        <f t="shared" si="33"/>
        <v>2012</v>
      </c>
    </row>
    <row r="1079" spans="1:7" x14ac:dyDescent="0.25">
      <c r="A1079" t="s">
        <v>12</v>
      </c>
      <c r="B1079" t="s">
        <v>11</v>
      </c>
      <c r="C1079">
        <v>96</v>
      </c>
      <c r="D1079">
        <v>100.28787</v>
      </c>
      <c r="E1079" s="1">
        <v>41183</v>
      </c>
      <c r="F1079">
        <f t="shared" si="32"/>
        <v>10</v>
      </c>
      <c r="G1079">
        <f t="shared" si="33"/>
        <v>2012</v>
      </c>
    </row>
    <row r="1080" spans="1:7" x14ac:dyDescent="0.25">
      <c r="A1080" t="s">
        <v>12</v>
      </c>
      <c r="B1080" t="s">
        <v>11</v>
      </c>
      <c r="C1080">
        <v>99.9</v>
      </c>
      <c r="D1080">
        <v>95.285899999999998</v>
      </c>
      <c r="E1080" s="1">
        <v>41214</v>
      </c>
      <c r="F1080">
        <f t="shared" si="32"/>
        <v>11</v>
      </c>
      <c r="G1080">
        <f t="shared" si="33"/>
        <v>2012</v>
      </c>
    </row>
    <row r="1081" spans="1:7" x14ac:dyDescent="0.25">
      <c r="A1081" t="s">
        <v>12</v>
      </c>
      <c r="B1081" t="s">
        <v>11</v>
      </c>
      <c r="C1081">
        <v>102.33</v>
      </c>
      <c r="D1081">
        <v>107.23914000000001</v>
      </c>
      <c r="E1081" s="1">
        <v>41244</v>
      </c>
      <c r="F1081">
        <f t="shared" si="32"/>
        <v>12</v>
      </c>
      <c r="G1081">
        <f t="shared" si="33"/>
        <v>2012</v>
      </c>
    </row>
    <row r="1082" spans="1:7" x14ac:dyDescent="0.25">
      <c r="A1082" t="s">
        <v>12</v>
      </c>
      <c r="B1082" t="s">
        <v>11</v>
      </c>
      <c r="C1082">
        <v>103.5</v>
      </c>
      <c r="D1082">
        <v>105.45131000000001</v>
      </c>
      <c r="E1082" s="1">
        <v>41275</v>
      </c>
      <c r="F1082">
        <f t="shared" si="32"/>
        <v>1</v>
      </c>
      <c r="G1082">
        <f t="shared" si="33"/>
        <v>2013</v>
      </c>
    </row>
    <row r="1083" spans="1:7" x14ac:dyDescent="0.25">
      <c r="A1083" t="s">
        <v>12</v>
      </c>
      <c r="B1083" t="s">
        <v>11</v>
      </c>
      <c r="C1083">
        <v>104.47</v>
      </c>
      <c r="D1083">
        <v>97.742069999999998</v>
      </c>
      <c r="E1083" s="1">
        <v>41306</v>
      </c>
      <c r="F1083">
        <f t="shared" si="32"/>
        <v>2</v>
      </c>
      <c r="G1083">
        <f t="shared" si="33"/>
        <v>2013</v>
      </c>
    </row>
    <row r="1084" spans="1:7" x14ac:dyDescent="0.25">
      <c r="A1084" t="s">
        <v>12</v>
      </c>
      <c r="B1084" t="s">
        <v>11</v>
      </c>
      <c r="C1084">
        <v>102.02</v>
      </c>
      <c r="D1084">
        <v>98.622169999999997</v>
      </c>
      <c r="E1084" s="1">
        <v>41334</v>
      </c>
      <c r="F1084">
        <f t="shared" si="32"/>
        <v>3</v>
      </c>
      <c r="G1084">
        <f t="shared" si="33"/>
        <v>2013</v>
      </c>
    </row>
    <row r="1085" spans="1:7" x14ac:dyDescent="0.25">
      <c r="A1085" t="s">
        <v>12</v>
      </c>
      <c r="B1085" t="s">
        <v>11</v>
      </c>
      <c r="C1085">
        <v>101.06</v>
      </c>
      <c r="D1085">
        <v>103.26555</v>
      </c>
      <c r="E1085" s="1">
        <v>41365</v>
      </c>
      <c r="F1085">
        <f t="shared" si="32"/>
        <v>4</v>
      </c>
      <c r="G1085">
        <f t="shared" si="33"/>
        <v>2013</v>
      </c>
    </row>
    <row r="1086" spans="1:7" x14ac:dyDescent="0.25">
      <c r="A1086" t="s">
        <v>12</v>
      </c>
      <c r="B1086" t="s">
        <v>11</v>
      </c>
      <c r="C1086">
        <v>101.15</v>
      </c>
      <c r="D1086">
        <v>102.07302</v>
      </c>
      <c r="E1086" s="1">
        <v>41395</v>
      </c>
      <c r="F1086">
        <f t="shared" si="32"/>
        <v>5</v>
      </c>
      <c r="G1086">
        <f t="shared" si="33"/>
        <v>2013</v>
      </c>
    </row>
    <row r="1087" spans="1:7" x14ac:dyDescent="0.25">
      <c r="A1087" t="s">
        <v>12</v>
      </c>
      <c r="B1087" t="s">
        <v>11</v>
      </c>
      <c r="C1087">
        <v>104.79</v>
      </c>
      <c r="D1087">
        <v>102.38557</v>
      </c>
      <c r="E1087" s="1">
        <v>41426</v>
      </c>
      <c r="F1087">
        <f t="shared" si="32"/>
        <v>6</v>
      </c>
      <c r="G1087">
        <f t="shared" si="33"/>
        <v>2013</v>
      </c>
    </row>
    <row r="1088" spans="1:7" x14ac:dyDescent="0.25">
      <c r="A1088" t="s">
        <v>12</v>
      </c>
      <c r="B1088" t="s">
        <v>11</v>
      </c>
      <c r="C1088">
        <v>97.71</v>
      </c>
      <c r="D1088">
        <v>96.402060000000006</v>
      </c>
      <c r="E1088" s="1">
        <v>41456</v>
      </c>
      <c r="F1088">
        <f t="shared" si="32"/>
        <v>7</v>
      </c>
      <c r="G1088">
        <f t="shared" si="33"/>
        <v>2013</v>
      </c>
    </row>
    <row r="1089" spans="1:7" x14ac:dyDescent="0.25">
      <c r="A1089" t="s">
        <v>12</v>
      </c>
      <c r="B1089" t="s">
        <v>11</v>
      </c>
      <c r="C1089">
        <v>97.89</v>
      </c>
      <c r="D1089">
        <v>98.703140000000005</v>
      </c>
      <c r="E1089" s="1">
        <v>41487</v>
      </c>
      <c r="F1089">
        <f t="shared" si="32"/>
        <v>8</v>
      </c>
      <c r="G1089">
        <f t="shared" si="33"/>
        <v>2013</v>
      </c>
    </row>
    <row r="1090" spans="1:7" x14ac:dyDescent="0.25">
      <c r="A1090" t="s">
        <v>12</v>
      </c>
      <c r="B1090" t="s">
        <v>11</v>
      </c>
      <c r="C1090">
        <v>98.01</v>
      </c>
      <c r="D1090">
        <v>99.431299999999993</v>
      </c>
      <c r="E1090" s="1">
        <v>41518</v>
      </c>
      <c r="F1090">
        <f t="shared" ref="F1090:F1153" si="34">MONTH(E1090)</f>
        <v>9</v>
      </c>
      <c r="G1090">
        <f t="shared" ref="G1090:G1153" si="35">YEAR(E1090)</f>
        <v>2013</v>
      </c>
    </row>
    <row r="1091" spans="1:7" x14ac:dyDescent="0.25">
      <c r="A1091" t="s">
        <v>12</v>
      </c>
      <c r="B1091" t="s">
        <v>11</v>
      </c>
      <c r="C1091">
        <v>98.55</v>
      </c>
      <c r="D1091">
        <v>102.68159</v>
      </c>
      <c r="E1091" s="1">
        <v>41548</v>
      </c>
      <c r="F1091">
        <f t="shared" si="34"/>
        <v>10</v>
      </c>
      <c r="G1091">
        <f t="shared" si="35"/>
        <v>2013</v>
      </c>
    </row>
    <row r="1092" spans="1:7" x14ac:dyDescent="0.25">
      <c r="A1092" t="s">
        <v>12</v>
      </c>
      <c r="B1092" t="s">
        <v>11</v>
      </c>
      <c r="C1092">
        <v>98.17</v>
      </c>
      <c r="D1092">
        <v>94.716279999999998</v>
      </c>
      <c r="E1092" s="1">
        <v>41579</v>
      </c>
      <c r="F1092">
        <f t="shared" si="34"/>
        <v>11</v>
      </c>
      <c r="G1092">
        <f t="shared" si="35"/>
        <v>2013</v>
      </c>
    </row>
    <row r="1093" spans="1:7" x14ac:dyDescent="0.25">
      <c r="A1093" t="s">
        <v>12</v>
      </c>
      <c r="B1093" t="s">
        <v>11</v>
      </c>
      <c r="C1093">
        <v>99.75</v>
      </c>
      <c r="D1093">
        <v>106.39678000000001</v>
      </c>
      <c r="E1093" s="1">
        <v>41609</v>
      </c>
      <c r="F1093">
        <f t="shared" si="34"/>
        <v>12</v>
      </c>
      <c r="G1093">
        <f t="shared" si="35"/>
        <v>2013</v>
      </c>
    </row>
    <row r="1094" spans="1:7" x14ac:dyDescent="0.25">
      <c r="A1094" t="s">
        <v>12</v>
      </c>
      <c r="B1094" t="s">
        <v>11</v>
      </c>
      <c r="C1094">
        <v>97.9</v>
      </c>
      <c r="D1094">
        <v>98.452089999999998</v>
      </c>
      <c r="E1094" s="1">
        <v>41640</v>
      </c>
      <c r="F1094">
        <f t="shared" si="34"/>
        <v>1</v>
      </c>
      <c r="G1094">
        <f t="shared" si="35"/>
        <v>2014</v>
      </c>
    </row>
    <row r="1095" spans="1:7" x14ac:dyDescent="0.25">
      <c r="A1095" t="s">
        <v>12</v>
      </c>
      <c r="B1095" t="s">
        <v>11</v>
      </c>
      <c r="C1095">
        <v>95.77</v>
      </c>
      <c r="D1095">
        <v>92.017960000000002</v>
      </c>
      <c r="E1095" s="1">
        <v>41671</v>
      </c>
      <c r="F1095">
        <f t="shared" si="34"/>
        <v>2</v>
      </c>
      <c r="G1095">
        <f t="shared" si="35"/>
        <v>2014</v>
      </c>
    </row>
    <row r="1096" spans="1:7" x14ac:dyDescent="0.25">
      <c r="A1096" t="s">
        <v>12</v>
      </c>
      <c r="B1096" t="s">
        <v>11</v>
      </c>
      <c r="C1096">
        <v>93.84</v>
      </c>
      <c r="D1096">
        <v>89.915459999999996</v>
      </c>
      <c r="E1096" s="1">
        <v>41699</v>
      </c>
      <c r="F1096">
        <f t="shared" si="34"/>
        <v>3</v>
      </c>
      <c r="G1096">
        <f t="shared" si="35"/>
        <v>2014</v>
      </c>
    </row>
    <row r="1097" spans="1:7" x14ac:dyDescent="0.25">
      <c r="A1097" t="s">
        <v>12</v>
      </c>
      <c r="B1097" t="s">
        <v>11</v>
      </c>
      <c r="C1097">
        <v>100.38</v>
      </c>
      <c r="D1097">
        <v>101.4059</v>
      </c>
      <c r="E1097" s="1">
        <v>41730</v>
      </c>
      <c r="F1097">
        <f t="shared" si="34"/>
        <v>4</v>
      </c>
      <c r="G1097">
        <f t="shared" si="35"/>
        <v>2014</v>
      </c>
    </row>
    <row r="1098" spans="1:7" x14ac:dyDescent="0.25">
      <c r="A1098" t="s">
        <v>12</v>
      </c>
      <c r="B1098" t="s">
        <v>11</v>
      </c>
      <c r="C1098">
        <v>94.17</v>
      </c>
      <c r="D1098">
        <v>93.523799999999994</v>
      </c>
      <c r="E1098" s="1">
        <v>41760</v>
      </c>
      <c r="F1098">
        <f t="shared" si="34"/>
        <v>5</v>
      </c>
      <c r="G1098">
        <f t="shared" si="35"/>
        <v>2014</v>
      </c>
    </row>
    <row r="1099" spans="1:7" x14ac:dyDescent="0.25">
      <c r="A1099" t="s">
        <v>12</v>
      </c>
      <c r="B1099" t="s">
        <v>11</v>
      </c>
      <c r="C1099">
        <v>95.35</v>
      </c>
      <c r="D1099">
        <v>93.041380000000004</v>
      </c>
      <c r="E1099" s="1">
        <v>41791</v>
      </c>
      <c r="F1099">
        <f t="shared" si="34"/>
        <v>6</v>
      </c>
      <c r="G1099">
        <f t="shared" si="35"/>
        <v>2014</v>
      </c>
    </row>
    <row r="1100" spans="1:7" x14ac:dyDescent="0.25">
      <c r="A1100" t="s">
        <v>12</v>
      </c>
      <c r="B1100" t="s">
        <v>11</v>
      </c>
      <c r="C1100">
        <v>95.95</v>
      </c>
      <c r="D1100">
        <v>93.987970000000004</v>
      </c>
      <c r="E1100" s="1">
        <v>41821</v>
      </c>
      <c r="F1100">
        <f t="shared" si="34"/>
        <v>7</v>
      </c>
      <c r="G1100">
        <f t="shared" si="35"/>
        <v>2014</v>
      </c>
    </row>
    <row r="1101" spans="1:7" x14ac:dyDescent="0.25">
      <c r="A1101" t="s">
        <v>12</v>
      </c>
      <c r="B1101" t="s">
        <v>11</v>
      </c>
      <c r="C1101">
        <v>97.67</v>
      </c>
      <c r="D1101">
        <v>99.211699999999993</v>
      </c>
      <c r="E1101" s="1">
        <v>41852</v>
      </c>
      <c r="F1101">
        <f t="shared" si="34"/>
        <v>8</v>
      </c>
      <c r="G1101">
        <f t="shared" si="35"/>
        <v>2014</v>
      </c>
    </row>
    <row r="1102" spans="1:7" x14ac:dyDescent="0.25">
      <c r="A1102" t="s">
        <v>12</v>
      </c>
      <c r="B1102" t="s">
        <v>11</v>
      </c>
      <c r="C1102">
        <v>97.39</v>
      </c>
      <c r="D1102">
        <v>99.489080000000001</v>
      </c>
      <c r="E1102" s="1">
        <v>41883</v>
      </c>
      <c r="F1102">
        <f t="shared" si="34"/>
        <v>9</v>
      </c>
      <c r="G1102">
        <f t="shared" si="35"/>
        <v>2014</v>
      </c>
    </row>
    <row r="1103" spans="1:7" x14ac:dyDescent="0.25">
      <c r="A1103" t="s">
        <v>12</v>
      </c>
      <c r="B1103" t="s">
        <v>11</v>
      </c>
      <c r="C1103">
        <v>102.49</v>
      </c>
      <c r="D1103">
        <v>107.15864999999999</v>
      </c>
      <c r="E1103" s="1">
        <v>41913</v>
      </c>
      <c r="F1103">
        <f t="shared" si="34"/>
        <v>10</v>
      </c>
      <c r="G1103">
        <f t="shared" si="35"/>
        <v>2014</v>
      </c>
    </row>
    <row r="1104" spans="1:7" x14ac:dyDescent="0.25">
      <c r="A1104" t="s">
        <v>12</v>
      </c>
      <c r="B1104" t="s">
        <v>11</v>
      </c>
      <c r="C1104">
        <v>95.2</v>
      </c>
      <c r="D1104">
        <v>91.81344</v>
      </c>
      <c r="E1104" s="1">
        <v>41944</v>
      </c>
      <c r="F1104">
        <f t="shared" si="34"/>
        <v>11</v>
      </c>
      <c r="G1104">
        <f t="shared" si="35"/>
        <v>2014</v>
      </c>
    </row>
    <row r="1105" spans="1:7" x14ac:dyDescent="0.25">
      <c r="A1105" t="s">
        <v>12</v>
      </c>
      <c r="B1105" t="s">
        <v>11</v>
      </c>
      <c r="C1105">
        <v>90.27</v>
      </c>
      <c r="D1105">
        <v>98.102760000000004</v>
      </c>
      <c r="E1105" s="1">
        <v>41974</v>
      </c>
      <c r="F1105">
        <f t="shared" si="34"/>
        <v>12</v>
      </c>
      <c r="G1105">
        <f t="shared" si="35"/>
        <v>2014</v>
      </c>
    </row>
    <row r="1106" spans="1:7" x14ac:dyDescent="0.25">
      <c r="A1106" t="s">
        <v>12</v>
      </c>
      <c r="B1106" t="s">
        <v>11</v>
      </c>
      <c r="C1106">
        <v>88.1</v>
      </c>
      <c r="D1106">
        <v>85.550340000000006</v>
      </c>
      <c r="E1106" s="1">
        <v>42005</v>
      </c>
      <c r="F1106">
        <f t="shared" si="34"/>
        <v>1</v>
      </c>
      <c r="G1106">
        <f t="shared" si="35"/>
        <v>2015</v>
      </c>
    </row>
    <row r="1107" spans="1:7" x14ac:dyDescent="0.25">
      <c r="A1107" t="s">
        <v>12</v>
      </c>
      <c r="B1107" t="s">
        <v>11</v>
      </c>
      <c r="C1107">
        <v>88.3</v>
      </c>
      <c r="D1107">
        <v>82.157179999999997</v>
      </c>
      <c r="E1107" s="1">
        <v>42036</v>
      </c>
      <c r="F1107">
        <f t="shared" si="34"/>
        <v>2</v>
      </c>
      <c r="G1107">
        <f t="shared" si="35"/>
        <v>2015</v>
      </c>
    </row>
    <row r="1108" spans="1:7" x14ac:dyDescent="0.25">
      <c r="A1108" t="s">
        <v>12</v>
      </c>
      <c r="B1108" t="s">
        <v>11</v>
      </c>
      <c r="C1108">
        <v>87.56</v>
      </c>
      <c r="D1108">
        <v>88.133560000000003</v>
      </c>
      <c r="E1108" s="1">
        <v>42064</v>
      </c>
      <c r="F1108">
        <f t="shared" si="34"/>
        <v>3</v>
      </c>
      <c r="G1108">
        <f t="shared" si="35"/>
        <v>2015</v>
      </c>
    </row>
    <row r="1109" spans="1:7" x14ac:dyDescent="0.25">
      <c r="A1109" t="s">
        <v>12</v>
      </c>
      <c r="B1109" t="s">
        <v>11</v>
      </c>
      <c r="C1109">
        <v>88.95</v>
      </c>
      <c r="D1109">
        <v>88.251239999999996</v>
      </c>
      <c r="E1109" s="1">
        <v>42095</v>
      </c>
      <c r="F1109">
        <f t="shared" si="34"/>
        <v>4</v>
      </c>
      <c r="G1109">
        <f t="shared" si="35"/>
        <v>2015</v>
      </c>
    </row>
    <row r="1110" spans="1:7" x14ac:dyDescent="0.25">
      <c r="A1110" t="s">
        <v>12</v>
      </c>
      <c r="B1110" t="s">
        <v>11</v>
      </c>
      <c r="C1110">
        <v>87.67</v>
      </c>
      <c r="D1110">
        <v>87.897570000000002</v>
      </c>
      <c r="E1110" s="1">
        <v>42125</v>
      </c>
      <c r="F1110">
        <f t="shared" si="34"/>
        <v>5</v>
      </c>
      <c r="G1110">
        <f t="shared" si="35"/>
        <v>2015</v>
      </c>
    </row>
    <row r="1111" spans="1:7" x14ac:dyDescent="0.25">
      <c r="A1111" t="s">
        <v>12</v>
      </c>
      <c r="B1111" t="s">
        <v>11</v>
      </c>
      <c r="C1111">
        <v>87.37</v>
      </c>
      <c r="D1111">
        <v>86.045739999999995</v>
      </c>
      <c r="E1111" s="1">
        <v>42156</v>
      </c>
      <c r="F1111">
        <f t="shared" si="34"/>
        <v>6</v>
      </c>
      <c r="G1111">
        <f t="shared" si="35"/>
        <v>2015</v>
      </c>
    </row>
    <row r="1112" spans="1:7" x14ac:dyDescent="0.25">
      <c r="A1112" t="s">
        <v>12</v>
      </c>
      <c r="B1112" t="s">
        <v>11</v>
      </c>
      <c r="C1112">
        <v>85.88</v>
      </c>
      <c r="D1112">
        <v>84.311099999999996</v>
      </c>
      <c r="E1112" s="1">
        <v>42186</v>
      </c>
      <c r="F1112">
        <f t="shared" si="34"/>
        <v>7</v>
      </c>
      <c r="G1112">
        <f t="shared" si="35"/>
        <v>2015</v>
      </c>
    </row>
    <row r="1113" spans="1:7" x14ac:dyDescent="0.25">
      <c r="A1113" t="s">
        <v>12</v>
      </c>
      <c r="B1113" t="s">
        <v>11</v>
      </c>
      <c r="C1113">
        <v>84.94</v>
      </c>
      <c r="D1113">
        <v>85.052239999999998</v>
      </c>
      <c r="E1113" s="1">
        <v>42217</v>
      </c>
      <c r="F1113">
        <f t="shared" si="34"/>
        <v>8</v>
      </c>
      <c r="G1113">
        <f t="shared" si="35"/>
        <v>2015</v>
      </c>
    </row>
    <row r="1114" spans="1:7" x14ac:dyDescent="0.25">
      <c r="A1114" t="s">
        <v>12</v>
      </c>
      <c r="B1114" t="s">
        <v>11</v>
      </c>
      <c r="C1114">
        <v>85.06</v>
      </c>
      <c r="D1114">
        <v>88.130330000000001</v>
      </c>
      <c r="E1114" s="1">
        <v>42248</v>
      </c>
      <c r="F1114">
        <f t="shared" si="34"/>
        <v>9</v>
      </c>
      <c r="G1114">
        <f t="shared" si="35"/>
        <v>2015</v>
      </c>
    </row>
    <row r="1115" spans="1:7" x14ac:dyDescent="0.25">
      <c r="A1115" t="s">
        <v>12</v>
      </c>
      <c r="B1115" t="s">
        <v>11</v>
      </c>
      <c r="C1115">
        <v>87.11</v>
      </c>
      <c r="D1115">
        <v>88.91377</v>
      </c>
      <c r="E1115" s="1">
        <v>42278</v>
      </c>
      <c r="F1115">
        <f t="shared" si="34"/>
        <v>10</v>
      </c>
      <c r="G1115">
        <f t="shared" si="35"/>
        <v>2015</v>
      </c>
    </row>
    <row r="1116" spans="1:7" x14ac:dyDescent="0.25">
      <c r="A1116" t="s">
        <v>12</v>
      </c>
      <c r="B1116" t="s">
        <v>11</v>
      </c>
      <c r="C1116">
        <v>87.76</v>
      </c>
      <c r="D1116">
        <v>85.831649999999996</v>
      </c>
      <c r="E1116" s="1">
        <v>42309</v>
      </c>
      <c r="F1116">
        <f t="shared" si="34"/>
        <v>11</v>
      </c>
      <c r="G1116">
        <f t="shared" si="35"/>
        <v>2015</v>
      </c>
    </row>
    <row r="1117" spans="1:7" x14ac:dyDescent="0.25">
      <c r="A1117" t="s">
        <v>12</v>
      </c>
      <c r="B1117" t="s">
        <v>11</v>
      </c>
      <c r="C1117">
        <v>78.069999999999993</v>
      </c>
      <c r="D1117">
        <v>84.196299999999994</v>
      </c>
      <c r="E1117" s="1">
        <v>42339</v>
      </c>
      <c r="F1117">
        <f t="shared" si="34"/>
        <v>12</v>
      </c>
      <c r="G1117">
        <f t="shared" si="35"/>
        <v>2015</v>
      </c>
    </row>
    <row r="1118" spans="1:7" x14ac:dyDescent="0.25">
      <c r="A1118" t="s">
        <v>12</v>
      </c>
      <c r="B1118" t="s">
        <v>11</v>
      </c>
      <c r="C1118">
        <v>81.75</v>
      </c>
      <c r="D1118">
        <v>79.802310000000006</v>
      </c>
      <c r="E1118" s="1">
        <v>42370</v>
      </c>
      <c r="F1118">
        <f t="shared" si="34"/>
        <v>1</v>
      </c>
      <c r="G1118">
        <f t="shared" si="35"/>
        <v>2016</v>
      </c>
    </row>
    <row r="1119" spans="1:7" x14ac:dyDescent="0.25">
      <c r="A1119" t="s">
        <v>12</v>
      </c>
      <c r="B1119" t="s">
        <v>11</v>
      </c>
      <c r="C1119">
        <v>81.349999999999994</v>
      </c>
      <c r="D1119">
        <v>78.177819999999997</v>
      </c>
      <c r="E1119" s="1">
        <v>42401</v>
      </c>
      <c r="F1119">
        <f t="shared" si="34"/>
        <v>2</v>
      </c>
      <c r="G1119">
        <f t="shared" si="35"/>
        <v>2016</v>
      </c>
    </row>
    <row r="1120" spans="1:7" x14ac:dyDescent="0.25">
      <c r="A1120" t="s">
        <v>12</v>
      </c>
      <c r="B1120" t="s">
        <v>11</v>
      </c>
      <c r="C1120">
        <v>97.98</v>
      </c>
      <c r="D1120">
        <v>96.718999999999994</v>
      </c>
      <c r="E1120" s="1">
        <v>42430</v>
      </c>
      <c r="F1120">
        <f t="shared" si="34"/>
        <v>3</v>
      </c>
      <c r="G1120">
        <f t="shared" si="35"/>
        <v>2016</v>
      </c>
    </row>
    <row r="1121" spans="1:7" x14ac:dyDescent="0.25">
      <c r="A1121" t="s">
        <v>12</v>
      </c>
      <c r="B1121" t="s">
        <v>11</v>
      </c>
      <c r="C1121">
        <v>85.8</v>
      </c>
      <c r="D1121">
        <v>87.176829999999995</v>
      </c>
      <c r="E1121" s="1">
        <v>42461</v>
      </c>
      <c r="F1121">
        <f t="shared" si="34"/>
        <v>4</v>
      </c>
      <c r="G1121">
        <f t="shared" si="35"/>
        <v>2016</v>
      </c>
    </row>
    <row r="1122" spans="1:7" x14ac:dyDescent="0.25">
      <c r="A1122" t="s">
        <v>12</v>
      </c>
      <c r="B1122" t="s">
        <v>11</v>
      </c>
      <c r="C1122">
        <v>84.4</v>
      </c>
      <c r="D1122">
        <v>82.963710000000006</v>
      </c>
      <c r="E1122" s="1">
        <v>42491</v>
      </c>
      <c r="F1122">
        <f t="shared" si="34"/>
        <v>5</v>
      </c>
      <c r="G1122">
        <f t="shared" si="35"/>
        <v>2016</v>
      </c>
    </row>
    <row r="1123" spans="1:7" x14ac:dyDescent="0.25">
      <c r="A1123" t="s">
        <v>12</v>
      </c>
      <c r="B1123" t="s">
        <v>11</v>
      </c>
      <c r="C1123">
        <v>84.88</v>
      </c>
      <c r="D1123">
        <v>85.744200000000006</v>
      </c>
      <c r="E1123" s="1">
        <v>42522</v>
      </c>
      <c r="F1123">
        <f t="shared" si="34"/>
        <v>6</v>
      </c>
      <c r="G1123">
        <f t="shared" si="35"/>
        <v>2016</v>
      </c>
    </row>
    <row r="1124" spans="1:7" x14ac:dyDescent="0.25">
      <c r="A1124" t="s">
        <v>12</v>
      </c>
      <c r="B1124" t="s">
        <v>11</v>
      </c>
      <c r="C1124">
        <v>92.81</v>
      </c>
      <c r="D1124">
        <v>90.285510000000002</v>
      </c>
      <c r="E1124" s="1">
        <v>42552</v>
      </c>
      <c r="F1124">
        <f t="shared" si="34"/>
        <v>7</v>
      </c>
      <c r="G1124">
        <f t="shared" si="35"/>
        <v>2016</v>
      </c>
    </row>
    <row r="1125" spans="1:7" x14ac:dyDescent="0.25">
      <c r="A1125" t="s">
        <v>12</v>
      </c>
      <c r="B1125" t="s">
        <v>11</v>
      </c>
      <c r="C1125">
        <v>88.77</v>
      </c>
      <c r="D1125">
        <v>91.633709999999994</v>
      </c>
      <c r="E1125" s="1">
        <v>42583</v>
      </c>
      <c r="F1125">
        <f t="shared" si="34"/>
        <v>8</v>
      </c>
      <c r="G1125">
        <f t="shared" si="35"/>
        <v>2016</v>
      </c>
    </row>
    <row r="1126" spans="1:7" x14ac:dyDescent="0.25">
      <c r="A1126" t="s">
        <v>12</v>
      </c>
      <c r="B1126" t="s">
        <v>11</v>
      </c>
      <c r="C1126">
        <v>87.2</v>
      </c>
      <c r="D1126">
        <v>87.424890000000005</v>
      </c>
      <c r="E1126" s="1">
        <v>42614</v>
      </c>
      <c r="F1126">
        <f t="shared" si="34"/>
        <v>9</v>
      </c>
      <c r="G1126">
        <f t="shared" si="35"/>
        <v>2016</v>
      </c>
    </row>
    <row r="1127" spans="1:7" x14ac:dyDescent="0.25">
      <c r="A1127" t="s">
        <v>12</v>
      </c>
      <c r="B1127" t="s">
        <v>11</v>
      </c>
      <c r="C1127">
        <v>89.14</v>
      </c>
      <c r="D1127">
        <v>90.56259</v>
      </c>
      <c r="E1127" s="1">
        <v>42644</v>
      </c>
      <c r="F1127">
        <f t="shared" si="34"/>
        <v>10</v>
      </c>
      <c r="G1127">
        <f t="shared" si="35"/>
        <v>2016</v>
      </c>
    </row>
    <row r="1128" spans="1:7" x14ac:dyDescent="0.25">
      <c r="A1128" t="s">
        <v>12</v>
      </c>
      <c r="B1128" t="s">
        <v>11</v>
      </c>
      <c r="C1128">
        <v>93.02</v>
      </c>
      <c r="D1128">
        <v>93.366590000000002</v>
      </c>
      <c r="E1128" s="1">
        <v>42675</v>
      </c>
      <c r="F1128">
        <f t="shared" si="34"/>
        <v>11</v>
      </c>
      <c r="G1128">
        <f t="shared" si="35"/>
        <v>2016</v>
      </c>
    </row>
    <row r="1129" spans="1:7" x14ac:dyDescent="0.25">
      <c r="A1129" t="s">
        <v>12</v>
      </c>
      <c r="B1129" t="s">
        <v>11</v>
      </c>
      <c r="C1129">
        <v>89.46</v>
      </c>
      <c r="D1129">
        <v>94.55592</v>
      </c>
      <c r="E1129" s="1">
        <v>42705</v>
      </c>
      <c r="F1129">
        <f t="shared" si="34"/>
        <v>12</v>
      </c>
      <c r="G1129">
        <f t="shared" si="35"/>
        <v>2016</v>
      </c>
    </row>
    <row r="1130" spans="1:7" x14ac:dyDescent="0.25">
      <c r="A1130" t="s">
        <v>12</v>
      </c>
      <c r="B1130" t="s">
        <v>11</v>
      </c>
      <c r="C1130">
        <v>72.77</v>
      </c>
      <c r="D1130">
        <v>71.650000000000006</v>
      </c>
      <c r="E1130" s="1">
        <v>42736</v>
      </c>
      <c r="F1130">
        <f t="shared" si="34"/>
        <v>1</v>
      </c>
      <c r="G1130">
        <f t="shared" si="35"/>
        <v>2017</v>
      </c>
    </row>
    <row r="1131" spans="1:7" x14ac:dyDescent="0.25">
      <c r="A1131" t="s">
        <v>12</v>
      </c>
      <c r="B1131" t="s">
        <v>11</v>
      </c>
      <c r="C1131">
        <v>74.48</v>
      </c>
      <c r="D1131">
        <v>69.593530000000001</v>
      </c>
      <c r="E1131" s="1">
        <v>42767</v>
      </c>
      <c r="F1131">
        <f t="shared" si="34"/>
        <v>2</v>
      </c>
      <c r="G1131">
        <f t="shared" si="35"/>
        <v>2017</v>
      </c>
    </row>
    <row r="1132" spans="1:7" x14ac:dyDescent="0.25">
      <c r="A1132" t="s">
        <v>12</v>
      </c>
      <c r="B1132" t="s">
        <v>11</v>
      </c>
      <c r="C1132">
        <v>74.17</v>
      </c>
      <c r="D1132">
        <v>76.049400000000006</v>
      </c>
      <c r="E1132" s="1">
        <v>42795</v>
      </c>
      <c r="F1132">
        <f t="shared" si="34"/>
        <v>3</v>
      </c>
      <c r="G1132">
        <f t="shared" si="35"/>
        <v>2017</v>
      </c>
    </row>
    <row r="1133" spans="1:7" x14ac:dyDescent="0.25">
      <c r="A1133" t="s">
        <v>12</v>
      </c>
      <c r="B1133" t="s">
        <v>11</v>
      </c>
      <c r="C1133">
        <v>72.66</v>
      </c>
      <c r="D1133">
        <v>70.553200000000004</v>
      </c>
      <c r="E1133" s="1">
        <v>42826</v>
      </c>
      <c r="F1133">
        <f t="shared" si="34"/>
        <v>4</v>
      </c>
      <c r="G1133">
        <f t="shared" si="35"/>
        <v>2017</v>
      </c>
    </row>
    <row r="1134" spans="1:7" x14ac:dyDescent="0.25">
      <c r="A1134" t="s">
        <v>12</v>
      </c>
      <c r="B1134" t="s">
        <v>11</v>
      </c>
      <c r="C1134">
        <v>77.62</v>
      </c>
      <c r="D1134">
        <v>79.439769999999996</v>
      </c>
      <c r="E1134" s="1">
        <v>42856</v>
      </c>
      <c r="F1134">
        <f t="shared" si="34"/>
        <v>5</v>
      </c>
      <c r="G1134">
        <f t="shared" si="35"/>
        <v>2017</v>
      </c>
    </row>
    <row r="1135" spans="1:7" x14ac:dyDescent="0.25">
      <c r="A1135" t="s">
        <v>12</v>
      </c>
      <c r="B1135" t="s">
        <v>11</v>
      </c>
      <c r="C1135">
        <v>75.2</v>
      </c>
      <c r="D1135">
        <v>73.412509999999997</v>
      </c>
      <c r="E1135" s="1">
        <v>42887</v>
      </c>
      <c r="F1135">
        <f t="shared" si="34"/>
        <v>6</v>
      </c>
      <c r="G1135">
        <f t="shared" si="35"/>
        <v>2017</v>
      </c>
    </row>
    <row r="1136" spans="1:7" x14ac:dyDescent="0.25">
      <c r="A1136" t="s">
        <v>12</v>
      </c>
      <c r="B1136" t="s">
        <v>11</v>
      </c>
      <c r="C1136">
        <v>75.22</v>
      </c>
      <c r="D1136">
        <v>72.846720000000005</v>
      </c>
      <c r="E1136" s="1">
        <v>42917</v>
      </c>
      <c r="F1136">
        <f t="shared" si="34"/>
        <v>7</v>
      </c>
      <c r="G1136">
        <f t="shared" si="35"/>
        <v>2017</v>
      </c>
    </row>
    <row r="1137" spans="1:7" x14ac:dyDescent="0.25">
      <c r="A1137" t="s">
        <v>12</v>
      </c>
      <c r="B1137" t="s">
        <v>11</v>
      </c>
      <c r="C1137">
        <v>73.290000000000006</v>
      </c>
      <c r="D1137">
        <v>74.965419999999995</v>
      </c>
      <c r="E1137" s="1">
        <v>42948</v>
      </c>
      <c r="F1137">
        <f t="shared" si="34"/>
        <v>8</v>
      </c>
      <c r="G1137">
        <f t="shared" si="35"/>
        <v>2017</v>
      </c>
    </row>
    <row r="1138" spans="1:7" x14ac:dyDescent="0.25">
      <c r="A1138" t="s">
        <v>12</v>
      </c>
      <c r="B1138" t="s">
        <v>11</v>
      </c>
      <c r="C1138">
        <v>75.19</v>
      </c>
      <c r="D1138">
        <v>75.198809999999995</v>
      </c>
      <c r="E1138" s="1">
        <v>42979</v>
      </c>
      <c r="F1138">
        <f t="shared" si="34"/>
        <v>9</v>
      </c>
      <c r="G1138">
        <f t="shared" si="35"/>
        <v>2017</v>
      </c>
    </row>
    <row r="1139" spans="1:7" x14ac:dyDescent="0.25">
      <c r="A1139" t="s">
        <v>12</v>
      </c>
      <c r="B1139" t="s">
        <v>11</v>
      </c>
      <c r="C1139">
        <v>75.23</v>
      </c>
      <c r="D1139">
        <v>77.094329999999999</v>
      </c>
      <c r="E1139" s="1">
        <v>43009</v>
      </c>
      <c r="F1139">
        <f t="shared" si="34"/>
        <v>10</v>
      </c>
      <c r="G1139">
        <f t="shared" si="35"/>
        <v>2017</v>
      </c>
    </row>
    <row r="1140" spans="1:7" x14ac:dyDescent="0.25">
      <c r="A1140" t="s">
        <v>12</v>
      </c>
      <c r="B1140" t="s">
        <v>11</v>
      </c>
      <c r="C1140">
        <v>73.22</v>
      </c>
      <c r="D1140">
        <v>71.844130000000007</v>
      </c>
      <c r="E1140" s="1">
        <v>43040</v>
      </c>
      <c r="F1140">
        <f t="shared" si="34"/>
        <v>11</v>
      </c>
      <c r="G1140">
        <f t="shared" si="35"/>
        <v>2017</v>
      </c>
    </row>
    <row r="1141" spans="1:7" x14ac:dyDescent="0.25">
      <c r="A1141" t="s">
        <v>12</v>
      </c>
      <c r="B1141" t="s">
        <v>11</v>
      </c>
      <c r="C1141">
        <v>77.87</v>
      </c>
      <c r="D1141">
        <v>83.626900000000006</v>
      </c>
      <c r="E1141" s="1">
        <v>43070</v>
      </c>
      <c r="F1141">
        <f t="shared" si="34"/>
        <v>12</v>
      </c>
      <c r="G1141">
        <f t="shared" si="35"/>
        <v>2017</v>
      </c>
    </row>
    <row r="1142" spans="1:7" x14ac:dyDescent="0.25">
      <c r="A1142" t="s">
        <v>12</v>
      </c>
      <c r="B1142" t="s">
        <v>11</v>
      </c>
      <c r="C1142">
        <v>77.510000000000005</v>
      </c>
      <c r="D1142">
        <v>77.737750000000005</v>
      </c>
      <c r="E1142" s="1">
        <v>43101</v>
      </c>
      <c r="F1142">
        <f t="shared" si="34"/>
        <v>1</v>
      </c>
      <c r="G1142">
        <f t="shared" si="35"/>
        <v>2018</v>
      </c>
    </row>
    <row r="1143" spans="1:7" x14ac:dyDescent="0.25">
      <c r="A1143" t="s">
        <v>12</v>
      </c>
      <c r="B1143" t="s">
        <v>11</v>
      </c>
      <c r="C1143">
        <v>78.260000000000005</v>
      </c>
      <c r="D1143">
        <v>73.563450000000003</v>
      </c>
      <c r="E1143" s="1">
        <v>43132</v>
      </c>
      <c r="F1143">
        <f t="shared" si="34"/>
        <v>2</v>
      </c>
      <c r="G1143">
        <f t="shared" si="35"/>
        <v>2018</v>
      </c>
    </row>
    <row r="1144" spans="1:7" x14ac:dyDescent="0.25">
      <c r="A1144" t="s">
        <v>12</v>
      </c>
      <c r="B1144" t="s">
        <v>11</v>
      </c>
      <c r="C1144">
        <v>80.41</v>
      </c>
      <c r="D1144">
        <v>78.180059999999997</v>
      </c>
      <c r="E1144" s="1">
        <v>43160</v>
      </c>
      <c r="F1144">
        <f t="shared" si="34"/>
        <v>3</v>
      </c>
      <c r="G1144">
        <f t="shared" si="35"/>
        <v>2018</v>
      </c>
    </row>
    <row r="1145" spans="1:7" x14ac:dyDescent="0.25">
      <c r="A1145" t="s">
        <v>12</v>
      </c>
      <c r="B1145" t="s">
        <v>11</v>
      </c>
      <c r="C1145">
        <v>79.209999999999994</v>
      </c>
      <c r="D1145">
        <v>79.407610000000005</v>
      </c>
      <c r="E1145" s="1">
        <v>43191</v>
      </c>
      <c r="F1145">
        <f t="shared" si="34"/>
        <v>4</v>
      </c>
      <c r="G1145">
        <f t="shared" si="35"/>
        <v>2018</v>
      </c>
    </row>
    <row r="1146" spans="1:7" x14ac:dyDescent="0.25">
      <c r="A1146" t="s">
        <v>12</v>
      </c>
      <c r="B1146" t="s">
        <v>11</v>
      </c>
      <c r="C1146">
        <v>74.75</v>
      </c>
      <c r="D1146">
        <v>75.64922</v>
      </c>
      <c r="E1146" s="1">
        <v>43221</v>
      </c>
      <c r="F1146">
        <f t="shared" si="34"/>
        <v>5</v>
      </c>
      <c r="G1146">
        <f t="shared" si="35"/>
        <v>2018</v>
      </c>
    </row>
    <row r="1147" spans="1:7" x14ac:dyDescent="0.25">
      <c r="A1147" t="s">
        <v>12</v>
      </c>
      <c r="B1147" t="s">
        <v>11</v>
      </c>
      <c r="C1147">
        <v>77.36</v>
      </c>
      <c r="D1147">
        <v>75.829989999999995</v>
      </c>
      <c r="E1147" s="1">
        <v>43252</v>
      </c>
      <c r="F1147">
        <f t="shared" si="34"/>
        <v>6</v>
      </c>
      <c r="G1147">
        <f t="shared" si="35"/>
        <v>2018</v>
      </c>
    </row>
    <row r="1148" spans="1:7" x14ac:dyDescent="0.25">
      <c r="A1148" t="s">
        <v>12</v>
      </c>
      <c r="B1148" t="s">
        <v>11</v>
      </c>
      <c r="C1148">
        <v>74.02</v>
      </c>
      <c r="D1148">
        <v>73.371039999999994</v>
      </c>
      <c r="E1148" s="1">
        <v>43282</v>
      </c>
      <c r="F1148">
        <f t="shared" si="34"/>
        <v>7</v>
      </c>
      <c r="G1148">
        <f t="shared" si="35"/>
        <v>2018</v>
      </c>
    </row>
    <row r="1149" spans="1:7" x14ac:dyDescent="0.25">
      <c r="A1149" t="s">
        <v>12</v>
      </c>
      <c r="B1149" t="s">
        <v>11</v>
      </c>
      <c r="C1149">
        <v>75.77</v>
      </c>
      <c r="D1149">
        <v>77.810109999999995</v>
      </c>
      <c r="E1149" s="1">
        <v>43313</v>
      </c>
      <c r="F1149">
        <f t="shared" si="34"/>
        <v>8</v>
      </c>
      <c r="G1149">
        <f t="shared" si="35"/>
        <v>2018</v>
      </c>
    </row>
    <row r="1150" spans="1:7" x14ac:dyDescent="0.25">
      <c r="A1150" t="s">
        <v>12</v>
      </c>
      <c r="B1150" t="s">
        <v>11</v>
      </c>
      <c r="C1150">
        <v>78.599999999999994</v>
      </c>
      <c r="D1150">
        <v>77.766959999999997</v>
      </c>
      <c r="E1150" s="1">
        <v>43344</v>
      </c>
      <c r="F1150">
        <f t="shared" si="34"/>
        <v>9</v>
      </c>
      <c r="G1150">
        <f t="shared" si="35"/>
        <v>2018</v>
      </c>
    </row>
    <row r="1151" spans="1:7" x14ac:dyDescent="0.25">
      <c r="A1151" t="s">
        <v>12</v>
      </c>
      <c r="B1151" t="s">
        <v>11</v>
      </c>
      <c r="C1151">
        <v>80.3</v>
      </c>
      <c r="D1151">
        <v>82.664420000000007</v>
      </c>
      <c r="E1151" s="1">
        <v>43374</v>
      </c>
      <c r="F1151">
        <f t="shared" si="34"/>
        <v>10</v>
      </c>
      <c r="G1151">
        <f t="shared" si="35"/>
        <v>2018</v>
      </c>
    </row>
    <row r="1152" spans="1:7" x14ac:dyDescent="0.25">
      <c r="A1152" t="s">
        <v>12</v>
      </c>
      <c r="B1152" t="s">
        <v>11</v>
      </c>
      <c r="C1152">
        <v>81.62</v>
      </c>
      <c r="D1152">
        <v>78.912689999999998</v>
      </c>
      <c r="E1152" s="1">
        <v>43405</v>
      </c>
      <c r="F1152">
        <f t="shared" si="34"/>
        <v>11</v>
      </c>
      <c r="G1152">
        <f t="shared" si="35"/>
        <v>2018</v>
      </c>
    </row>
    <row r="1153" spans="1:7" x14ac:dyDescent="0.25">
      <c r="A1153" t="s">
        <v>12</v>
      </c>
      <c r="B1153" t="s">
        <v>11</v>
      </c>
      <c r="C1153">
        <v>79.459999999999994</v>
      </c>
      <c r="D1153">
        <v>85.156589999999994</v>
      </c>
      <c r="E1153" s="1">
        <v>43435</v>
      </c>
      <c r="F1153">
        <f t="shared" si="34"/>
        <v>12</v>
      </c>
      <c r="G1153">
        <f t="shared" si="35"/>
        <v>2018</v>
      </c>
    </row>
    <row r="1154" spans="1:7" x14ac:dyDescent="0.25">
      <c r="A1154" t="s">
        <v>12</v>
      </c>
      <c r="B1154" t="s">
        <v>11</v>
      </c>
      <c r="C1154">
        <v>83.86</v>
      </c>
      <c r="D1154">
        <v>83.522040000000004</v>
      </c>
      <c r="E1154" s="1">
        <v>43466</v>
      </c>
      <c r="F1154">
        <f t="shared" ref="F1154:F1217" si="36">MONTH(E1154)</f>
        <v>1</v>
      </c>
      <c r="G1154">
        <f t="shared" ref="G1154:G1217" si="37">YEAR(E1154)</f>
        <v>2019</v>
      </c>
    </row>
    <row r="1155" spans="1:7" x14ac:dyDescent="0.25">
      <c r="A1155" t="s">
        <v>12</v>
      </c>
      <c r="B1155" t="s">
        <v>11</v>
      </c>
      <c r="C1155">
        <v>82.29</v>
      </c>
      <c r="D1155">
        <v>80.803269999999998</v>
      </c>
      <c r="E1155" s="1">
        <v>43497</v>
      </c>
      <c r="F1155">
        <f t="shared" si="36"/>
        <v>2</v>
      </c>
      <c r="G1155">
        <f t="shared" si="37"/>
        <v>2019</v>
      </c>
    </row>
    <row r="1156" spans="1:7" x14ac:dyDescent="0.25">
      <c r="A1156" t="s">
        <v>12</v>
      </c>
      <c r="B1156" t="s">
        <v>11</v>
      </c>
      <c r="C1156">
        <v>81.72</v>
      </c>
      <c r="D1156">
        <v>79.805139999999994</v>
      </c>
      <c r="E1156" s="1">
        <v>43525</v>
      </c>
      <c r="F1156">
        <f t="shared" si="36"/>
        <v>3</v>
      </c>
      <c r="G1156">
        <f t="shared" si="37"/>
        <v>2019</v>
      </c>
    </row>
    <row r="1157" spans="1:7" x14ac:dyDescent="0.25">
      <c r="A1157" t="s">
        <v>12</v>
      </c>
      <c r="B1157" t="s">
        <v>11</v>
      </c>
      <c r="C1157">
        <v>80.77</v>
      </c>
      <c r="D1157">
        <v>78.554079999999999</v>
      </c>
      <c r="E1157" s="1">
        <v>43556</v>
      </c>
      <c r="F1157">
        <f t="shared" si="36"/>
        <v>4</v>
      </c>
      <c r="G1157">
        <f t="shared" si="37"/>
        <v>2019</v>
      </c>
    </row>
    <row r="1158" spans="1:7" x14ac:dyDescent="0.25">
      <c r="A1158" t="s">
        <v>12</v>
      </c>
      <c r="B1158" t="s">
        <v>11</v>
      </c>
      <c r="C1158">
        <v>81.180000000000007</v>
      </c>
      <c r="D1158">
        <v>81.825599999999994</v>
      </c>
      <c r="E1158" s="1">
        <v>43586</v>
      </c>
      <c r="F1158">
        <f t="shared" si="36"/>
        <v>5</v>
      </c>
      <c r="G1158">
        <f t="shared" si="37"/>
        <v>2019</v>
      </c>
    </row>
    <row r="1159" spans="1:7" x14ac:dyDescent="0.25">
      <c r="A1159" t="s">
        <v>12</v>
      </c>
      <c r="B1159" t="s">
        <v>11</v>
      </c>
      <c r="C1159">
        <v>81.98</v>
      </c>
      <c r="D1159">
        <v>79.834180000000003</v>
      </c>
      <c r="E1159" s="1">
        <v>43617</v>
      </c>
      <c r="F1159">
        <f t="shared" si="36"/>
        <v>6</v>
      </c>
      <c r="G1159">
        <f t="shared" si="37"/>
        <v>2019</v>
      </c>
    </row>
    <row r="1160" spans="1:7" x14ac:dyDescent="0.25">
      <c r="A1160" t="s">
        <v>12</v>
      </c>
      <c r="B1160" t="s">
        <v>11</v>
      </c>
      <c r="C1160">
        <v>83.51</v>
      </c>
      <c r="D1160">
        <v>84.495189999999994</v>
      </c>
      <c r="E1160" s="1">
        <v>43647</v>
      </c>
      <c r="F1160">
        <f t="shared" si="36"/>
        <v>7</v>
      </c>
      <c r="G1160">
        <f t="shared" si="37"/>
        <v>2019</v>
      </c>
    </row>
    <row r="1161" spans="1:7" x14ac:dyDescent="0.25">
      <c r="A1161" t="s">
        <v>12</v>
      </c>
      <c r="B1161" t="s">
        <v>11</v>
      </c>
      <c r="C1161">
        <v>85.36</v>
      </c>
      <c r="D1161">
        <v>86.317850000000007</v>
      </c>
      <c r="E1161" s="1">
        <v>43678</v>
      </c>
      <c r="F1161">
        <f t="shared" si="36"/>
        <v>8</v>
      </c>
      <c r="G1161">
        <f t="shared" si="37"/>
        <v>2019</v>
      </c>
    </row>
    <row r="1162" spans="1:7" x14ac:dyDescent="0.25">
      <c r="A1162" t="s">
        <v>12</v>
      </c>
      <c r="B1162" t="s">
        <v>11</v>
      </c>
      <c r="C1162">
        <v>85.69</v>
      </c>
      <c r="D1162">
        <v>85.30104</v>
      </c>
      <c r="E1162" s="1">
        <v>43709</v>
      </c>
      <c r="F1162">
        <f t="shared" si="36"/>
        <v>9</v>
      </c>
      <c r="G1162">
        <f t="shared" si="37"/>
        <v>2019</v>
      </c>
    </row>
    <row r="1163" spans="1:7" x14ac:dyDescent="0.25">
      <c r="A1163" t="s">
        <v>12</v>
      </c>
      <c r="B1163" t="s">
        <v>11</v>
      </c>
      <c r="C1163">
        <v>85.02</v>
      </c>
      <c r="D1163">
        <v>86.020219999999995</v>
      </c>
      <c r="E1163" s="1">
        <v>43739</v>
      </c>
      <c r="F1163">
        <f t="shared" si="36"/>
        <v>10</v>
      </c>
      <c r="G1163">
        <f t="shared" si="37"/>
        <v>2019</v>
      </c>
    </row>
    <row r="1164" spans="1:7" x14ac:dyDescent="0.25">
      <c r="A1164" t="s">
        <v>12</v>
      </c>
      <c r="B1164" t="s">
        <v>11</v>
      </c>
      <c r="C1164">
        <v>86.05</v>
      </c>
      <c r="D1164">
        <v>83.316609999999997</v>
      </c>
      <c r="E1164" s="1">
        <v>43770</v>
      </c>
      <c r="F1164">
        <f t="shared" si="36"/>
        <v>11</v>
      </c>
      <c r="G1164">
        <f t="shared" si="37"/>
        <v>2019</v>
      </c>
    </row>
    <row r="1165" spans="1:7" x14ac:dyDescent="0.25">
      <c r="A1165" t="s">
        <v>12</v>
      </c>
      <c r="B1165" t="s">
        <v>11</v>
      </c>
      <c r="C1165">
        <v>92.39</v>
      </c>
      <c r="D1165">
        <v>100.98831</v>
      </c>
      <c r="E1165" s="1">
        <v>43800</v>
      </c>
      <c r="F1165">
        <f t="shared" si="36"/>
        <v>12</v>
      </c>
      <c r="G1165">
        <f t="shared" si="37"/>
        <v>2019</v>
      </c>
    </row>
    <row r="1166" spans="1:7" x14ac:dyDescent="0.25">
      <c r="A1166" t="s">
        <v>12</v>
      </c>
      <c r="B1166" t="s">
        <v>11</v>
      </c>
      <c r="C1166">
        <v>96.78</v>
      </c>
      <c r="D1166">
        <v>96.085539999999995</v>
      </c>
      <c r="E1166" s="1">
        <v>43831</v>
      </c>
      <c r="F1166">
        <f t="shared" si="36"/>
        <v>1</v>
      </c>
      <c r="G1166">
        <f t="shared" si="37"/>
        <v>2020</v>
      </c>
    </row>
    <row r="1167" spans="1:7" x14ac:dyDescent="0.25">
      <c r="A1167" t="s">
        <v>12</v>
      </c>
      <c r="B1167" t="s">
        <v>11</v>
      </c>
      <c r="C1167">
        <v>93.62</v>
      </c>
      <c r="D1167">
        <v>90.694969999999998</v>
      </c>
      <c r="E1167" s="1">
        <v>43862</v>
      </c>
      <c r="F1167">
        <f t="shared" si="36"/>
        <v>2</v>
      </c>
      <c r="G1167">
        <f t="shared" si="37"/>
        <v>2020</v>
      </c>
    </row>
    <row r="1168" spans="1:7" x14ac:dyDescent="0.25">
      <c r="A1168" t="s">
        <v>12</v>
      </c>
      <c r="B1168" t="s">
        <v>11</v>
      </c>
      <c r="C1168">
        <v>97.65</v>
      </c>
      <c r="D1168">
        <v>99.739540000000005</v>
      </c>
      <c r="E1168" s="1">
        <v>43891</v>
      </c>
      <c r="F1168">
        <f t="shared" si="36"/>
        <v>3</v>
      </c>
      <c r="G1168">
        <f t="shared" si="37"/>
        <v>2020</v>
      </c>
    </row>
    <row r="1169" spans="1:7" x14ac:dyDescent="0.25">
      <c r="A1169" t="s">
        <v>12</v>
      </c>
      <c r="B1169" t="s">
        <v>11</v>
      </c>
      <c r="C1169">
        <v>91.35</v>
      </c>
      <c r="D1169">
        <v>88.057460000000006</v>
      </c>
      <c r="E1169" s="1">
        <v>43922</v>
      </c>
      <c r="F1169">
        <f t="shared" si="36"/>
        <v>4</v>
      </c>
      <c r="G1169">
        <f t="shared" si="37"/>
        <v>2020</v>
      </c>
    </row>
    <row r="1170" spans="1:7" x14ac:dyDescent="0.25">
      <c r="A1170" t="s">
        <v>12</v>
      </c>
      <c r="B1170" t="s">
        <v>11</v>
      </c>
      <c r="C1170">
        <v>84.35</v>
      </c>
      <c r="D1170">
        <v>83.798280000000005</v>
      </c>
      <c r="E1170" s="1">
        <v>43952</v>
      </c>
      <c r="F1170">
        <f t="shared" si="36"/>
        <v>5</v>
      </c>
      <c r="G1170">
        <f t="shared" si="37"/>
        <v>2020</v>
      </c>
    </row>
    <row r="1171" spans="1:7" x14ac:dyDescent="0.25">
      <c r="A1171" t="s">
        <v>12</v>
      </c>
      <c r="B1171" t="s">
        <v>11</v>
      </c>
      <c r="C1171">
        <v>92.36</v>
      </c>
      <c r="D1171">
        <v>91.652060000000006</v>
      </c>
      <c r="E1171" s="1">
        <v>43983</v>
      </c>
      <c r="F1171">
        <f t="shared" si="36"/>
        <v>6</v>
      </c>
      <c r="G1171">
        <f t="shared" si="37"/>
        <v>2020</v>
      </c>
    </row>
    <row r="1172" spans="1:7" x14ac:dyDescent="0.25">
      <c r="A1172" t="s">
        <v>12</v>
      </c>
      <c r="B1172" t="s">
        <v>11</v>
      </c>
      <c r="C1172">
        <v>94.47</v>
      </c>
      <c r="D1172">
        <v>95.158609999999996</v>
      </c>
      <c r="E1172" s="1">
        <v>44013</v>
      </c>
      <c r="F1172">
        <f t="shared" si="36"/>
        <v>7</v>
      </c>
      <c r="G1172">
        <f t="shared" si="37"/>
        <v>2020</v>
      </c>
    </row>
    <row r="1173" spans="1:7" x14ac:dyDescent="0.25">
      <c r="A1173" t="s">
        <v>12</v>
      </c>
      <c r="B1173" t="s">
        <v>11</v>
      </c>
      <c r="C1173">
        <v>97.1</v>
      </c>
      <c r="D1173">
        <v>99.265680000000003</v>
      </c>
      <c r="E1173" s="1">
        <v>44044</v>
      </c>
      <c r="F1173">
        <f t="shared" si="36"/>
        <v>8</v>
      </c>
      <c r="G1173">
        <f t="shared" si="37"/>
        <v>2020</v>
      </c>
    </row>
    <row r="1174" spans="1:7" x14ac:dyDescent="0.25">
      <c r="A1174" t="s">
        <v>12</v>
      </c>
      <c r="B1174" t="s">
        <v>11</v>
      </c>
      <c r="C1174">
        <v>105.79</v>
      </c>
      <c r="D1174">
        <v>108.00378000000001</v>
      </c>
      <c r="E1174" s="1">
        <v>44075</v>
      </c>
      <c r="F1174">
        <f t="shared" si="36"/>
        <v>9</v>
      </c>
      <c r="G1174">
        <f t="shared" si="37"/>
        <v>2020</v>
      </c>
    </row>
    <row r="1175" spans="1:7" x14ac:dyDescent="0.25">
      <c r="A1175" t="s">
        <v>12</v>
      </c>
      <c r="B1175" t="s">
        <v>11</v>
      </c>
      <c r="C1175">
        <v>100.31</v>
      </c>
      <c r="D1175">
        <v>98.260350000000003</v>
      </c>
      <c r="E1175" s="1">
        <v>44105</v>
      </c>
      <c r="F1175">
        <f t="shared" si="36"/>
        <v>10</v>
      </c>
      <c r="G1175">
        <f t="shared" si="37"/>
        <v>2020</v>
      </c>
    </row>
    <row r="1176" spans="1:7" x14ac:dyDescent="0.25">
      <c r="A1176" t="s">
        <v>12</v>
      </c>
      <c r="B1176" t="s">
        <v>11</v>
      </c>
      <c r="C1176">
        <v>99.76</v>
      </c>
      <c r="D1176">
        <v>96.621560000000002</v>
      </c>
      <c r="E1176" s="1">
        <v>44136</v>
      </c>
      <c r="F1176">
        <f t="shared" si="36"/>
        <v>11</v>
      </c>
      <c r="G1176">
        <f t="shared" si="37"/>
        <v>2020</v>
      </c>
    </row>
    <row r="1177" spans="1:7" x14ac:dyDescent="0.25">
      <c r="A1177" t="s">
        <v>12</v>
      </c>
      <c r="B1177" t="s">
        <v>11</v>
      </c>
      <c r="C1177">
        <v>100.4</v>
      </c>
      <c r="D1177">
        <v>110.79907</v>
      </c>
      <c r="E1177" s="1">
        <v>44166</v>
      </c>
      <c r="F1177">
        <f t="shared" si="36"/>
        <v>12</v>
      </c>
      <c r="G1177">
        <f t="shared" si="37"/>
        <v>2020</v>
      </c>
    </row>
    <row r="1178" spans="1:7" x14ac:dyDescent="0.25">
      <c r="A1178" t="s">
        <v>12</v>
      </c>
      <c r="B1178" t="s">
        <v>11</v>
      </c>
      <c r="C1178">
        <v>97</v>
      </c>
      <c r="D1178">
        <v>94.448580000000007</v>
      </c>
      <c r="E1178" s="1">
        <v>44197</v>
      </c>
      <c r="F1178">
        <f t="shared" si="36"/>
        <v>1</v>
      </c>
      <c r="G1178">
        <f t="shared" si="37"/>
        <v>2021</v>
      </c>
    </row>
    <row r="1179" spans="1:7" x14ac:dyDescent="0.25">
      <c r="A1179" t="s">
        <v>12</v>
      </c>
      <c r="B1179" t="s">
        <v>11</v>
      </c>
      <c r="C1179">
        <v>99.54</v>
      </c>
      <c r="D1179">
        <v>93.90737</v>
      </c>
      <c r="E1179" s="1">
        <v>44228</v>
      </c>
      <c r="F1179">
        <f t="shared" si="36"/>
        <v>2</v>
      </c>
      <c r="G1179">
        <f t="shared" si="37"/>
        <v>2021</v>
      </c>
    </row>
    <row r="1180" spans="1:7" x14ac:dyDescent="0.25">
      <c r="A1180" t="s">
        <v>12</v>
      </c>
      <c r="B1180" t="s">
        <v>11</v>
      </c>
      <c r="C1180">
        <v>100.96</v>
      </c>
      <c r="D1180">
        <v>104.45796</v>
      </c>
      <c r="E1180" s="1">
        <v>44256</v>
      </c>
      <c r="F1180">
        <f t="shared" si="36"/>
        <v>3</v>
      </c>
      <c r="G1180">
        <f t="shared" si="37"/>
        <v>2021</v>
      </c>
    </row>
    <row r="1181" spans="1:7" x14ac:dyDescent="0.25">
      <c r="A1181" t="s">
        <v>12</v>
      </c>
      <c r="B1181" t="s">
        <v>11</v>
      </c>
      <c r="C1181">
        <v>103.66</v>
      </c>
      <c r="D1181">
        <v>98.660960000000003</v>
      </c>
      <c r="E1181" s="1">
        <v>44287</v>
      </c>
      <c r="F1181">
        <f t="shared" si="36"/>
        <v>4</v>
      </c>
      <c r="G1181">
        <f t="shared" si="37"/>
        <v>2021</v>
      </c>
    </row>
    <row r="1182" spans="1:7" x14ac:dyDescent="0.25">
      <c r="A1182" t="s">
        <v>12</v>
      </c>
      <c r="B1182" t="s">
        <v>11</v>
      </c>
      <c r="C1182">
        <v>101.57</v>
      </c>
      <c r="D1182">
        <v>100.03025</v>
      </c>
      <c r="E1182" s="1">
        <v>44317</v>
      </c>
      <c r="F1182">
        <f t="shared" si="36"/>
        <v>5</v>
      </c>
      <c r="G1182">
        <f t="shared" si="37"/>
        <v>2021</v>
      </c>
    </row>
    <row r="1183" spans="1:7" x14ac:dyDescent="0.25">
      <c r="A1183" t="s">
        <v>12</v>
      </c>
      <c r="B1183" t="s">
        <v>11</v>
      </c>
      <c r="C1183">
        <v>100.15</v>
      </c>
      <c r="D1183">
        <v>101.51955</v>
      </c>
      <c r="E1183" s="1">
        <v>44348</v>
      </c>
      <c r="F1183">
        <f t="shared" si="36"/>
        <v>6</v>
      </c>
      <c r="G1183">
        <f t="shared" si="37"/>
        <v>2021</v>
      </c>
    </row>
    <row r="1184" spans="1:7" x14ac:dyDescent="0.25">
      <c r="A1184" t="s">
        <v>12</v>
      </c>
      <c r="B1184" t="s">
        <v>11</v>
      </c>
      <c r="C1184">
        <v>110.34</v>
      </c>
      <c r="D1184">
        <v>108.79747</v>
      </c>
      <c r="E1184" s="1">
        <v>44378</v>
      </c>
      <c r="F1184">
        <f t="shared" si="36"/>
        <v>7</v>
      </c>
      <c r="G1184">
        <f t="shared" si="37"/>
        <v>2021</v>
      </c>
    </row>
    <row r="1185" spans="1:7" x14ac:dyDescent="0.25">
      <c r="A1185" t="s">
        <v>12</v>
      </c>
      <c r="B1185" t="s">
        <v>11</v>
      </c>
      <c r="C1185">
        <v>105.47</v>
      </c>
      <c r="D1185">
        <v>110.71642</v>
      </c>
      <c r="E1185" s="1">
        <v>44409</v>
      </c>
      <c r="F1185">
        <f t="shared" si="36"/>
        <v>8</v>
      </c>
      <c r="G1185">
        <f t="shared" si="37"/>
        <v>2021</v>
      </c>
    </row>
    <row r="1186" spans="1:7" x14ac:dyDescent="0.25">
      <c r="A1186" t="s">
        <v>12</v>
      </c>
      <c r="B1186" t="s">
        <v>11</v>
      </c>
      <c r="C1186">
        <v>98.55</v>
      </c>
      <c r="D1186">
        <v>98.330430000000007</v>
      </c>
      <c r="E1186" s="1">
        <v>44440</v>
      </c>
      <c r="F1186">
        <f t="shared" si="36"/>
        <v>9</v>
      </c>
      <c r="G1186">
        <f t="shared" si="37"/>
        <v>2021</v>
      </c>
    </row>
    <row r="1187" spans="1:7" x14ac:dyDescent="0.25">
      <c r="A1187" t="s">
        <v>12</v>
      </c>
      <c r="B1187" t="s">
        <v>11</v>
      </c>
      <c r="C1187">
        <v>95.4</v>
      </c>
      <c r="D1187">
        <v>94.133139999999997</v>
      </c>
      <c r="E1187" s="1">
        <v>44470</v>
      </c>
      <c r="F1187">
        <f t="shared" si="36"/>
        <v>10</v>
      </c>
      <c r="G1187">
        <f t="shared" si="37"/>
        <v>2021</v>
      </c>
    </row>
    <row r="1188" spans="1:7" x14ac:dyDescent="0.25">
      <c r="A1188" t="s">
        <v>12</v>
      </c>
      <c r="B1188" t="s">
        <v>11</v>
      </c>
      <c r="C1188">
        <v>95.28</v>
      </c>
      <c r="D1188">
        <v>93.852639999999994</v>
      </c>
      <c r="E1188" s="1">
        <v>44501</v>
      </c>
      <c r="F1188">
        <f t="shared" si="36"/>
        <v>11</v>
      </c>
      <c r="G1188">
        <f t="shared" si="37"/>
        <v>2021</v>
      </c>
    </row>
    <row r="1189" spans="1:7" x14ac:dyDescent="0.25">
      <c r="A1189" t="s">
        <v>12</v>
      </c>
      <c r="B1189" t="s">
        <v>11</v>
      </c>
      <c r="C1189">
        <v>95.58</v>
      </c>
      <c r="D1189">
        <v>105.06393</v>
      </c>
      <c r="E1189" s="1">
        <v>44531</v>
      </c>
      <c r="F1189">
        <f t="shared" si="36"/>
        <v>12</v>
      </c>
      <c r="G1189">
        <f t="shared" si="37"/>
        <v>2021</v>
      </c>
    </row>
    <row r="1190" spans="1:7" x14ac:dyDescent="0.25">
      <c r="A1190" t="s">
        <v>12</v>
      </c>
      <c r="B1190" t="s">
        <v>11</v>
      </c>
      <c r="C1190">
        <v>103.8</v>
      </c>
      <c r="D1190">
        <v>99.354079999999996</v>
      </c>
      <c r="E1190" s="1">
        <v>44562</v>
      </c>
      <c r="F1190">
        <f t="shared" si="36"/>
        <v>1</v>
      </c>
      <c r="G1190">
        <f t="shared" si="37"/>
        <v>2022</v>
      </c>
    </row>
    <row r="1191" spans="1:7" x14ac:dyDescent="0.25">
      <c r="A1191" t="s">
        <v>12</v>
      </c>
      <c r="B1191" t="s">
        <v>11</v>
      </c>
      <c r="C1191">
        <v>96.96</v>
      </c>
      <c r="D1191">
        <v>91.305059999999997</v>
      </c>
      <c r="E1191" s="1">
        <v>44593</v>
      </c>
      <c r="F1191">
        <f t="shared" si="36"/>
        <v>2</v>
      </c>
      <c r="G1191">
        <f t="shared" si="37"/>
        <v>2022</v>
      </c>
    </row>
    <row r="1192" spans="1:7" x14ac:dyDescent="0.25">
      <c r="A1192" t="s">
        <v>12</v>
      </c>
      <c r="B1192" t="s">
        <v>11</v>
      </c>
      <c r="C1192">
        <v>96.27</v>
      </c>
      <c r="D1192">
        <v>98.514420000000001</v>
      </c>
      <c r="E1192" s="1">
        <v>44621</v>
      </c>
      <c r="F1192">
        <f t="shared" si="36"/>
        <v>3</v>
      </c>
      <c r="G1192">
        <f t="shared" si="37"/>
        <v>2022</v>
      </c>
    </row>
    <row r="1193" spans="1:7" x14ac:dyDescent="0.25">
      <c r="A1193" t="s">
        <v>12</v>
      </c>
      <c r="B1193" t="s">
        <v>11</v>
      </c>
      <c r="C1193">
        <v>94.36</v>
      </c>
      <c r="D1193">
        <v>89.639880000000005</v>
      </c>
      <c r="E1193" s="1">
        <v>44652</v>
      </c>
      <c r="F1193">
        <f t="shared" si="36"/>
        <v>4</v>
      </c>
      <c r="G1193">
        <f t="shared" si="37"/>
        <v>2022</v>
      </c>
    </row>
    <row r="1194" spans="1:7" x14ac:dyDescent="0.25">
      <c r="A1194" t="s">
        <v>12</v>
      </c>
      <c r="B1194" t="s">
        <v>11</v>
      </c>
      <c r="C1194">
        <v>97.8</v>
      </c>
      <c r="D1194">
        <v>98.546149999999997</v>
      </c>
      <c r="E1194" s="1">
        <v>44682</v>
      </c>
      <c r="F1194">
        <f t="shared" si="36"/>
        <v>5</v>
      </c>
      <c r="G1194">
        <f t="shared" si="37"/>
        <v>2022</v>
      </c>
    </row>
    <row r="1195" spans="1:7" x14ac:dyDescent="0.25">
      <c r="A1195" t="s">
        <v>12</v>
      </c>
      <c r="B1195" t="s">
        <v>11</v>
      </c>
      <c r="C1195">
        <v>97.09</v>
      </c>
      <c r="D1195">
        <v>96.768320000000003</v>
      </c>
      <c r="E1195" s="1">
        <v>44713</v>
      </c>
      <c r="F1195">
        <f t="shared" si="36"/>
        <v>6</v>
      </c>
      <c r="G1195">
        <f t="shared" si="37"/>
        <v>2022</v>
      </c>
    </row>
    <row r="1196" spans="1:7" x14ac:dyDescent="0.25">
      <c r="A1196" t="s">
        <v>12</v>
      </c>
      <c r="B1196" t="s">
        <v>11</v>
      </c>
      <c r="C1196">
        <v>92.38</v>
      </c>
      <c r="D1196">
        <v>92.322370000000006</v>
      </c>
      <c r="E1196" s="1">
        <v>44743</v>
      </c>
      <c r="F1196">
        <f t="shared" si="36"/>
        <v>7</v>
      </c>
      <c r="G1196">
        <f t="shared" si="37"/>
        <v>2022</v>
      </c>
    </row>
    <row r="1197" spans="1:7" x14ac:dyDescent="0.25">
      <c r="A1197" t="s">
        <v>12</v>
      </c>
      <c r="B1197" t="s">
        <v>11</v>
      </c>
      <c r="C1197">
        <v>105.04</v>
      </c>
      <c r="D1197">
        <v>112.52891</v>
      </c>
      <c r="E1197" s="1">
        <v>44774</v>
      </c>
      <c r="F1197">
        <f t="shared" si="36"/>
        <v>8</v>
      </c>
      <c r="G1197">
        <f t="shared" si="37"/>
        <v>2022</v>
      </c>
    </row>
    <row r="1198" spans="1:7" x14ac:dyDescent="0.25">
      <c r="A1198" t="s">
        <v>12</v>
      </c>
      <c r="B1198" t="s">
        <v>11</v>
      </c>
      <c r="C1198">
        <v>100.42</v>
      </c>
      <c r="D1198">
        <v>99.008570000000006</v>
      </c>
      <c r="E1198" s="1">
        <v>44805</v>
      </c>
      <c r="F1198">
        <f t="shared" si="36"/>
        <v>9</v>
      </c>
      <c r="G1198">
        <f t="shared" si="37"/>
        <v>2022</v>
      </c>
    </row>
    <row r="1199" spans="1:7" x14ac:dyDescent="0.25">
      <c r="A1199" t="s">
        <v>12</v>
      </c>
      <c r="B1199" t="s">
        <v>11</v>
      </c>
      <c r="C1199">
        <v>101.43</v>
      </c>
      <c r="D1199">
        <v>98.707560000000001</v>
      </c>
      <c r="E1199" s="1">
        <v>44835</v>
      </c>
      <c r="F1199">
        <f t="shared" si="36"/>
        <v>10</v>
      </c>
      <c r="G1199">
        <f t="shared" si="37"/>
        <v>2022</v>
      </c>
    </row>
    <row r="1200" spans="1:7" x14ac:dyDescent="0.25">
      <c r="A1200" t="s">
        <v>12</v>
      </c>
      <c r="B1200" t="s">
        <v>11</v>
      </c>
      <c r="C1200">
        <v>100.04</v>
      </c>
      <c r="D1200">
        <v>100.91063</v>
      </c>
      <c r="E1200" s="1">
        <v>44866</v>
      </c>
      <c r="F1200">
        <f t="shared" si="36"/>
        <v>11</v>
      </c>
      <c r="G1200">
        <f t="shared" si="37"/>
        <v>2022</v>
      </c>
    </row>
    <row r="1201" spans="1:7" x14ac:dyDescent="0.25">
      <c r="A1201" t="s">
        <v>12</v>
      </c>
      <c r="B1201" t="s">
        <v>11</v>
      </c>
      <c r="C1201">
        <v>114.4</v>
      </c>
      <c r="D1201">
        <v>122.39406</v>
      </c>
      <c r="E1201" s="1">
        <v>44896</v>
      </c>
      <c r="F1201">
        <f t="shared" si="36"/>
        <v>12</v>
      </c>
      <c r="G1201">
        <f t="shared" si="37"/>
        <v>2022</v>
      </c>
    </row>
    <row r="1202" spans="1:7" x14ac:dyDescent="0.25">
      <c r="A1202" t="s">
        <v>12</v>
      </c>
      <c r="B1202" t="s">
        <v>11</v>
      </c>
      <c r="C1202">
        <v>96.71</v>
      </c>
      <c r="D1202">
        <v>93.88306</v>
      </c>
      <c r="E1202" s="1">
        <v>44927</v>
      </c>
      <c r="F1202">
        <f t="shared" si="36"/>
        <v>1</v>
      </c>
      <c r="G1202">
        <f t="shared" si="37"/>
        <v>2023</v>
      </c>
    </row>
    <row r="1203" spans="1:7" x14ac:dyDescent="0.25">
      <c r="A1203" t="s">
        <v>12</v>
      </c>
      <c r="B1203" t="s">
        <v>11</v>
      </c>
      <c r="C1203">
        <v>96.31</v>
      </c>
      <c r="D1203">
        <v>90.661829999999995</v>
      </c>
      <c r="E1203" s="1">
        <v>44958</v>
      </c>
      <c r="F1203">
        <f t="shared" si="36"/>
        <v>2</v>
      </c>
      <c r="G1203">
        <f t="shared" si="37"/>
        <v>2023</v>
      </c>
    </row>
    <row r="1204" spans="1:7" x14ac:dyDescent="0.25">
      <c r="A1204" t="s">
        <v>12</v>
      </c>
      <c r="B1204" t="s">
        <v>11</v>
      </c>
      <c r="C1204">
        <v>96.43</v>
      </c>
      <c r="D1204">
        <v>98.60463</v>
      </c>
      <c r="E1204" s="1">
        <v>44986</v>
      </c>
      <c r="F1204">
        <f t="shared" si="36"/>
        <v>3</v>
      </c>
      <c r="G1204">
        <f t="shared" si="37"/>
        <v>2023</v>
      </c>
    </row>
    <row r="1205" spans="1:7" x14ac:dyDescent="0.25">
      <c r="A1205" t="s">
        <v>12</v>
      </c>
      <c r="B1205" t="s">
        <v>11</v>
      </c>
      <c r="C1205">
        <v>95.69</v>
      </c>
      <c r="D1205">
        <v>89.901989999999998</v>
      </c>
      <c r="E1205" s="1">
        <v>45017</v>
      </c>
      <c r="F1205">
        <f t="shared" si="36"/>
        <v>4</v>
      </c>
      <c r="G1205">
        <f t="shared" si="37"/>
        <v>2023</v>
      </c>
    </row>
    <row r="1206" spans="1:7" x14ac:dyDescent="0.25">
      <c r="A1206" t="s">
        <v>12</v>
      </c>
      <c r="B1206" t="s">
        <v>11</v>
      </c>
      <c r="C1206">
        <v>95.59</v>
      </c>
      <c r="D1206">
        <v>98.438379999999995</v>
      </c>
      <c r="E1206" s="1">
        <v>45047</v>
      </c>
      <c r="F1206">
        <f t="shared" si="36"/>
        <v>5</v>
      </c>
      <c r="G1206">
        <f t="shared" si="37"/>
        <v>2023</v>
      </c>
    </row>
    <row r="1207" spans="1:7" x14ac:dyDescent="0.25">
      <c r="A1207" t="s">
        <v>12</v>
      </c>
      <c r="B1207" t="s">
        <v>11</v>
      </c>
      <c r="C1207">
        <v>97.37</v>
      </c>
      <c r="D1207">
        <v>96.433520000000001</v>
      </c>
      <c r="E1207" s="1">
        <v>45078</v>
      </c>
      <c r="F1207">
        <f t="shared" si="36"/>
        <v>6</v>
      </c>
      <c r="G1207">
        <f t="shared" si="37"/>
        <v>2023</v>
      </c>
    </row>
    <row r="1208" spans="1:7" x14ac:dyDescent="0.25">
      <c r="A1208" t="s">
        <v>12</v>
      </c>
      <c r="B1208" t="s">
        <v>11</v>
      </c>
      <c r="C1208">
        <v>98.04</v>
      </c>
      <c r="D1208">
        <v>96.901809999999998</v>
      </c>
      <c r="E1208" s="1">
        <v>45108</v>
      </c>
      <c r="F1208">
        <f t="shared" si="36"/>
        <v>7</v>
      </c>
      <c r="G1208">
        <f t="shared" si="37"/>
        <v>2023</v>
      </c>
    </row>
    <row r="1209" spans="1:7" x14ac:dyDescent="0.25">
      <c r="A1209" t="s">
        <v>12</v>
      </c>
      <c r="B1209" t="s">
        <v>11</v>
      </c>
      <c r="C1209">
        <v>93.94</v>
      </c>
      <c r="D1209">
        <v>99.741349999999997</v>
      </c>
      <c r="E1209" s="1">
        <v>45139</v>
      </c>
      <c r="F1209">
        <f t="shared" si="36"/>
        <v>8</v>
      </c>
      <c r="G1209">
        <f t="shared" si="37"/>
        <v>2023</v>
      </c>
    </row>
    <row r="1210" spans="1:7" x14ac:dyDescent="0.25">
      <c r="A1210" t="s">
        <v>12</v>
      </c>
      <c r="B1210" t="s">
        <v>11</v>
      </c>
      <c r="C1210">
        <v>94.11</v>
      </c>
      <c r="D1210">
        <v>92.720060000000004</v>
      </c>
      <c r="E1210" s="1">
        <v>45170</v>
      </c>
      <c r="F1210">
        <f t="shared" si="36"/>
        <v>9</v>
      </c>
      <c r="G1210">
        <f t="shared" si="37"/>
        <v>2023</v>
      </c>
    </row>
    <row r="1211" spans="1:7" x14ac:dyDescent="0.25">
      <c r="A1211" t="s">
        <v>12</v>
      </c>
      <c r="B1211" t="s">
        <v>11</v>
      </c>
      <c r="C1211">
        <v>96.5</v>
      </c>
      <c r="D1211">
        <v>95.530690000000007</v>
      </c>
      <c r="E1211" s="1">
        <v>45200</v>
      </c>
      <c r="F1211">
        <f t="shared" si="36"/>
        <v>10</v>
      </c>
      <c r="G1211">
        <f t="shared" si="37"/>
        <v>2023</v>
      </c>
    </row>
    <row r="1212" spans="1:7" x14ac:dyDescent="0.25">
      <c r="A1212" t="s">
        <v>12</v>
      </c>
      <c r="B1212" t="s">
        <v>11</v>
      </c>
      <c r="C1212">
        <v>99.53</v>
      </c>
      <c r="D1212">
        <v>99.015349999999998</v>
      </c>
      <c r="E1212" s="1">
        <v>45231</v>
      </c>
      <c r="F1212">
        <f t="shared" si="36"/>
        <v>11</v>
      </c>
      <c r="G1212">
        <f t="shared" si="37"/>
        <v>2023</v>
      </c>
    </row>
    <row r="1213" spans="1:7" x14ac:dyDescent="0.25">
      <c r="A1213" t="s">
        <v>12</v>
      </c>
      <c r="B1213" t="s">
        <v>11</v>
      </c>
      <c r="C1213">
        <v>100.31</v>
      </c>
      <c r="D1213">
        <v>107.93715</v>
      </c>
      <c r="E1213" s="1">
        <v>45261</v>
      </c>
      <c r="F1213">
        <f t="shared" si="36"/>
        <v>12</v>
      </c>
      <c r="G1213">
        <f t="shared" si="37"/>
        <v>2023</v>
      </c>
    </row>
    <row r="1214" spans="1:7" x14ac:dyDescent="0.25">
      <c r="A1214" t="s">
        <v>12</v>
      </c>
      <c r="B1214" t="s">
        <v>11</v>
      </c>
      <c r="C1214">
        <v>97.31</v>
      </c>
      <c r="D1214">
        <v>95.964510000000004</v>
      </c>
      <c r="E1214" s="1">
        <v>45292</v>
      </c>
      <c r="F1214">
        <f t="shared" si="36"/>
        <v>1</v>
      </c>
      <c r="G1214">
        <f t="shared" si="37"/>
        <v>2024</v>
      </c>
    </row>
    <row r="1215" spans="1:7" x14ac:dyDescent="0.25">
      <c r="A1215" t="s">
        <v>12</v>
      </c>
      <c r="B1215" t="s">
        <v>11</v>
      </c>
      <c r="C1215">
        <v>97.08</v>
      </c>
      <c r="D1215">
        <v>93.5398</v>
      </c>
      <c r="E1215" s="1">
        <v>45323</v>
      </c>
      <c r="F1215">
        <f t="shared" si="36"/>
        <v>2</v>
      </c>
      <c r="G1215">
        <f t="shared" si="37"/>
        <v>2024</v>
      </c>
    </row>
    <row r="1216" spans="1:7" x14ac:dyDescent="0.25">
      <c r="A1216" t="s">
        <v>12</v>
      </c>
      <c r="B1216" t="s">
        <v>11</v>
      </c>
      <c r="C1216">
        <v>97.84</v>
      </c>
      <c r="D1216">
        <v>95.612970000000004</v>
      </c>
      <c r="E1216" s="1">
        <v>45352</v>
      </c>
      <c r="F1216">
        <f t="shared" si="36"/>
        <v>3</v>
      </c>
      <c r="G1216">
        <f t="shared" si="37"/>
        <v>2024</v>
      </c>
    </row>
    <row r="1217" spans="1:7" x14ac:dyDescent="0.25">
      <c r="A1217" t="s">
        <v>12</v>
      </c>
      <c r="B1217" t="s">
        <v>11</v>
      </c>
      <c r="C1217">
        <v>98</v>
      </c>
      <c r="D1217">
        <v>96.465779999999995</v>
      </c>
      <c r="E1217" s="1">
        <v>45383</v>
      </c>
      <c r="F1217">
        <f t="shared" si="36"/>
        <v>4</v>
      </c>
      <c r="G1217">
        <f t="shared" si="37"/>
        <v>2024</v>
      </c>
    </row>
    <row r="1218" spans="1:7" x14ac:dyDescent="0.25">
      <c r="A1218" t="s">
        <v>12</v>
      </c>
      <c r="B1218" t="s">
        <v>11</v>
      </c>
      <c r="C1218">
        <v>96.74</v>
      </c>
      <c r="D1218">
        <v>98.182749999999999</v>
      </c>
      <c r="E1218" s="1">
        <v>45413</v>
      </c>
      <c r="F1218">
        <f t="shared" ref="F1218:F1281" si="38">MONTH(E1218)</f>
        <v>5</v>
      </c>
      <c r="G1218">
        <f t="shared" ref="G1218:G1281" si="39">YEAR(E1218)</f>
        <v>2024</v>
      </c>
    </row>
    <row r="1219" spans="1:7" x14ac:dyDescent="0.25">
      <c r="A1219" t="s">
        <v>12</v>
      </c>
      <c r="B1219" t="s">
        <v>11</v>
      </c>
      <c r="C1219">
        <v>96.28</v>
      </c>
      <c r="D1219">
        <v>95.743579999999994</v>
      </c>
      <c r="E1219" s="1">
        <v>45444</v>
      </c>
      <c r="F1219">
        <f t="shared" si="38"/>
        <v>6</v>
      </c>
      <c r="G1219">
        <f t="shared" si="39"/>
        <v>2024</v>
      </c>
    </row>
    <row r="1220" spans="1:7" x14ac:dyDescent="0.25">
      <c r="A1220" t="s">
        <v>12</v>
      </c>
      <c r="B1220" t="s">
        <v>11</v>
      </c>
      <c r="C1220">
        <v>95.04</v>
      </c>
      <c r="D1220">
        <v>97.107010000000002</v>
      </c>
      <c r="E1220" s="1">
        <v>45474</v>
      </c>
      <c r="F1220">
        <f t="shared" si="38"/>
        <v>7</v>
      </c>
      <c r="G1220">
        <f t="shared" si="39"/>
        <v>2024</v>
      </c>
    </row>
    <row r="1221" spans="1:7" x14ac:dyDescent="0.25">
      <c r="A1221" t="s">
        <v>12</v>
      </c>
      <c r="B1221" t="s">
        <v>11</v>
      </c>
      <c r="C1221">
        <v>97.95</v>
      </c>
      <c r="D1221">
        <v>101.11117</v>
      </c>
      <c r="E1221" s="1">
        <v>45505</v>
      </c>
      <c r="F1221">
        <f t="shared" si="38"/>
        <v>8</v>
      </c>
      <c r="G1221">
        <f t="shared" si="39"/>
        <v>2024</v>
      </c>
    </row>
    <row r="1222" spans="1:7" x14ac:dyDescent="0.25">
      <c r="A1222" t="s">
        <v>12</v>
      </c>
      <c r="B1222" t="s">
        <v>11</v>
      </c>
      <c r="C1222">
        <v>96.08</v>
      </c>
      <c r="D1222">
        <v>94.250799999999998</v>
      </c>
      <c r="E1222" s="1">
        <v>45536</v>
      </c>
      <c r="F1222">
        <f t="shared" si="38"/>
        <v>9</v>
      </c>
      <c r="G1222">
        <f t="shared" si="39"/>
        <v>2024</v>
      </c>
    </row>
    <row r="1223" spans="1:7" x14ac:dyDescent="0.25">
      <c r="A1223" t="s">
        <v>12</v>
      </c>
      <c r="B1223" t="s">
        <v>11</v>
      </c>
      <c r="C1223">
        <v>94.65</v>
      </c>
      <c r="D1223">
        <v>94.227699999999999</v>
      </c>
      <c r="E1223" s="1">
        <v>45566</v>
      </c>
      <c r="F1223">
        <f t="shared" si="38"/>
        <v>10</v>
      </c>
      <c r="G1223">
        <f t="shared" si="39"/>
        <v>2024</v>
      </c>
    </row>
    <row r="1224" spans="1:7" x14ac:dyDescent="0.25">
      <c r="A1224" t="s">
        <v>12</v>
      </c>
      <c r="B1224" t="s">
        <v>11</v>
      </c>
      <c r="C1224">
        <v>95.38</v>
      </c>
      <c r="D1224">
        <v>94.629909999999995</v>
      </c>
      <c r="E1224" s="1">
        <v>45597</v>
      </c>
      <c r="F1224">
        <f t="shared" si="38"/>
        <v>11</v>
      </c>
      <c r="G1224">
        <f t="shared" si="39"/>
        <v>2024</v>
      </c>
    </row>
    <row r="1225" spans="1:7" x14ac:dyDescent="0.25">
      <c r="A1225" t="s">
        <v>12</v>
      </c>
      <c r="B1225" t="s">
        <v>11</v>
      </c>
      <c r="C1225">
        <v>93.55</v>
      </c>
      <c r="D1225">
        <v>101.34941000000001</v>
      </c>
      <c r="E1225" s="1">
        <v>45627</v>
      </c>
      <c r="F1225">
        <f t="shared" si="38"/>
        <v>12</v>
      </c>
      <c r="G1225">
        <f t="shared" si="39"/>
        <v>2024</v>
      </c>
    </row>
    <row r="1226" spans="1:7" x14ac:dyDescent="0.25">
      <c r="A1226" t="s">
        <v>12</v>
      </c>
      <c r="B1226" t="s">
        <v>11</v>
      </c>
      <c r="C1226">
        <v>96.02</v>
      </c>
      <c r="D1226">
        <v>93.921300000000002</v>
      </c>
      <c r="E1226" s="1">
        <v>45658</v>
      </c>
      <c r="F1226">
        <f t="shared" si="38"/>
        <v>1</v>
      </c>
      <c r="G1226">
        <f t="shared" si="39"/>
        <v>2025</v>
      </c>
    </row>
    <row r="1227" spans="1:7" x14ac:dyDescent="0.25">
      <c r="A1227" t="s">
        <v>12</v>
      </c>
      <c r="B1227" t="s">
        <v>11</v>
      </c>
      <c r="C1227">
        <v>96.94</v>
      </c>
      <c r="D1227">
        <v>94.146079999999998</v>
      </c>
      <c r="E1227" s="1">
        <v>45689</v>
      </c>
      <c r="F1227">
        <f t="shared" si="38"/>
        <v>2</v>
      </c>
      <c r="G1227">
        <f t="shared" si="39"/>
        <v>2025</v>
      </c>
    </row>
    <row r="1228" spans="1:7" x14ac:dyDescent="0.25">
      <c r="A1228" t="s">
        <v>12</v>
      </c>
      <c r="B1228" t="s">
        <v>11</v>
      </c>
      <c r="C1228">
        <v>95.73</v>
      </c>
      <c r="D1228">
        <v>92.93374</v>
      </c>
      <c r="E1228" s="1">
        <v>45717</v>
      </c>
      <c r="F1228">
        <f t="shared" si="38"/>
        <v>3</v>
      </c>
      <c r="G1228">
        <f t="shared" si="39"/>
        <v>2025</v>
      </c>
    </row>
    <row r="1229" spans="1:7" x14ac:dyDescent="0.25">
      <c r="A1229" t="s">
        <v>12</v>
      </c>
      <c r="B1229" t="s">
        <v>11</v>
      </c>
      <c r="C1229">
        <v>95.13</v>
      </c>
      <c r="D1229">
        <v>92.272890000000004</v>
      </c>
      <c r="E1229" s="1">
        <v>45748</v>
      </c>
      <c r="F1229">
        <f t="shared" si="38"/>
        <v>4</v>
      </c>
      <c r="G1229">
        <f t="shared" si="39"/>
        <v>2025</v>
      </c>
    </row>
    <row r="1230" spans="1:7" x14ac:dyDescent="0.25">
      <c r="A1230" t="s">
        <v>12</v>
      </c>
      <c r="B1230" t="s">
        <v>11</v>
      </c>
      <c r="C1230">
        <v>96.98</v>
      </c>
      <c r="D1230">
        <v>97.084220000000002</v>
      </c>
      <c r="E1230" s="1">
        <v>45778</v>
      </c>
      <c r="F1230">
        <f t="shared" si="38"/>
        <v>5</v>
      </c>
      <c r="G1230">
        <f t="shared" si="39"/>
        <v>2025</v>
      </c>
    </row>
    <row r="1231" spans="1:7" x14ac:dyDescent="0.25">
      <c r="A1231" t="s">
        <v>12</v>
      </c>
      <c r="B1231" t="s">
        <v>11</v>
      </c>
      <c r="C1231">
        <v>95.28</v>
      </c>
      <c r="D1231">
        <v>94.578239999999994</v>
      </c>
      <c r="E1231" s="1">
        <v>45809</v>
      </c>
      <c r="F1231">
        <f t="shared" si="38"/>
        <v>6</v>
      </c>
      <c r="G1231">
        <f t="shared" si="39"/>
        <v>2025</v>
      </c>
    </row>
    <row r="1232" spans="1:7" x14ac:dyDescent="0.25">
      <c r="A1232" t="s">
        <v>12</v>
      </c>
      <c r="B1232" t="s">
        <v>11</v>
      </c>
      <c r="C1232">
        <v>94.92</v>
      </c>
      <c r="D1232">
        <v>95.923540000000003</v>
      </c>
      <c r="E1232" s="1">
        <v>45839</v>
      </c>
      <c r="F1232">
        <f t="shared" si="38"/>
        <v>7</v>
      </c>
      <c r="G1232">
        <f t="shared" si="39"/>
        <v>2025</v>
      </c>
    </row>
    <row r="1233" spans="1:7" x14ac:dyDescent="0.25">
      <c r="A1233" t="s">
        <v>12</v>
      </c>
      <c r="B1233" t="s">
        <v>11</v>
      </c>
      <c r="C1233">
        <v>93.73</v>
      </c>
      <c r="D1233">
        <v>97.670670000000001</v>
      </c>
      <c r="E1233" s="1">
        <v>45870</v>
      </c>
      <c r="F1233">
        <f t="shared" si="38"/>
        <v>8</v>
      </c>
      <c r="G1233">
        <f t="shared" si="39"/>
        <v>2025</v>
      </c>
    </row>
    <row r="1234" spans="1:7" x14ac:dyDescent="0.25">
      <c r="A1234" t="s">
        <v>12</v>
      </c>
      <c r="B1234" t="s">
        <v>10</v>
      </c>
      <c r="C1234">
        <v>78.510000000000005</v>
      </c>
      <c r="D1234">
        <v>70.60351</v>
      </c>
      <c r="E1234" s="1">
        <v>40544</v>
      </c>
      <c r="F1234">
        <f t="shared" si="38"/>
        <v>1</v>
      </c>
      <c r="G1234">
        <f t="shared" si="39"/>
        <v>2011</v>
      </c>
    </row>
    <row r="1235" spans="1:7" x14ac:dyDescent="0.25">
      <c r="A1235" t="s">
        <v>12</v>
      </c>
      <c r="B1235" t="s">
        <v>10</v>
      </c>
      <c r="C1235">
        <v>80.31</v>
      </c>
      <c r="D1235">
        <v>72.710589999999996</v>
      </c>
      <c r="E1235" s="1">
        <v>40575</v>
      </c>
      <c r="F1235">
        <f t="shared" si="38"/>
        <v>2</v>
      </c>
      <c r="G1235">
        <f t="shared" si="39"/>
        <v>2011</v>
      </c>
    </row>
    <row r="1236" spans="1:7" x14ac:dyDescent="0.25">
      <c r="A1236" t="s">
        <v>12</v>
      </c>
      <c r="B1236" t="s">
        <v>10</v>
      </c>
      <c r="C1236">
        <v>79.569999999999993</v>
      </c>
      <c r="D1236">
        <v>76.732780000000005</v>
      </c>
      <c r="E1236" s="1">
        <v>40603</v>
      </c>
      <c r="F1236">
        <f t="shared" si="38"/>
        <v>3</v>
      </c>
      <c r="G1236">
        <f t="shared" si="39"/>
        <v>2011</v>
      </c>
    </row>
    <row r="1237" spans="1:7" x14ac:dyDescent="0.25">
      <c r="A1237" t="s">
        <v>12</v>
      </c>
      <c r="B1237" t="s">
        <v>10</v>
      </c>
      <c r="C1237">
        <v>80.53</v>
      </c>
      <c r="D1237">
        <v>77.509060000000005</v>
      </c>
      <c r="E1237" s="1">
        <v>40634</v>
      </c>
      <c r="F1237">
        <f t="shared" si="38"/>
        <v>4</v>
      </c>
      <c r="G1237">
        <f t="shared" si="39"/>
        <v>2011</v>
      </c>
    </row>
    <row r="1238" spans="1:7" x14ac:dyDescent="0.25">
      <c r="A1238" t="s">
        <v>12</v>
      </c>
      <c r="B1238" t="s">
        <v>10</v>
      </c>
      <c r="C1238">
        <v>83</v>
      </c>
      <c r="D1238">
        <v>84.189790000000002</v>
      </c>
      <c r="E1238" s="1">
        <v>40664</v>
      </c>
      <c r="F1238">
        <f t="shared" si="38"/>
        <v>5</v>
      </c>
      <c r="G1238">
        <f t="shared" si="39"/>
        <v>2011</v>
      </c>
    </row>
    <row r="1239" spans="1:7" x14ac:dyDescent="0.25">
      <c r="A1239" t="s">
        <v>12</v>
      </c>
      <c r="B1239" t="s">
        <v>10</v>
      </c>
      <c r="C1239">
        <v>83.69</v>
      </c>
      <c r="D1239">
        <v>83.040769999999995</v>
      </c>
      <c r="E1239" s="1">
        <v>40695</v>
      </c>
      <c r="F1239">
        <f t="shared" si="38"/>
        <v>6</v>
      </c>
      <c r="G1239">
        <f t="shared" si="39"/>
        <v>2011</v>
      </c>
    </row>
    <row r="1240" spans="1:7" x14ac:dyDescent="0.25">
      <c r="A1240" t="s">
        <v>12</v>
      </c>
      <c r="B1240" t="s">
        <v>10</v>
      </c>
      <c r="C1240">
        <v>85.16</v>
      </c>
      <c r="D1240">
        <v>85.631360000000001</v>
      </c>
      <c r="E1240" s="1">
        <v>40725</v>
      </c>
      <c r="F1240">
        <f t="shared" si="38"/>
        <v>7</v>
      </c>
      <c r="G1240">
        <f t="shared" si="39"/>
        <v>2011</v>
      </c>
    </row>
    <row r="1241" spans="1:7" x14ac:dyDescent="0.25">
      <c r="A1241" t="s">
        <v>12</v>
      </c>
      <c r="B1241" t="s">
        <v>10</v>
      </c>
      <c r="C1241">
        <v>81.23</v>
      </c>
      <c r="D1241">
        <v>87.206440000000001</v>
      </c>
      <c r="E1241" s="1">
        <v>40756</v>
      </c>
      <c r="F1241">
        <f t="shared" si="38"/>
        <v>8</v>
      </c>
      <c r="G1241">
        <f t="shared" si="39"/>
        <v>2011</v>
      </c>
    </row>
    <row r="1242" spans="1:7" x14ac:dyDescent="0.25">
      <c r="A1242" t="s">
        <v>12</v>
      </c>
      <c r="B1242" t="s">
        <v>10</v>
      </c>
      <c r="C1242">
        <v>79.55</v>
      </c>
      <c r="D1242">
        <v>83.432040000000001</v>
      </c>
      <c r="E1242" s="1">
        <v>40787</v>
      </c>
      <c r="F1242">
        <f t="shared" si="38"/>
        <v>9</v>
      </c>
      <c r="G1242">
        <f t="shared" si="39"/>
        <v>2011</v>
      </c>
    </row>
    <row r="1243" spans="1:7" x14ac:dyDescent="0.25">
      <c r="A1243" t="s">
        <v>12</v>
      </c>
      <c r="B1243" t="s">
        <v>10</v>
      </c>
      <c r="C1243">
        <v>79.569999999999993</v>
      </c>
      <c r="D1243">
        <v>84.029219999999995</v>
      </c>
      <c r="E1243" s="1">
        <v>40817</v>
      </c>
      <c r="F1243">
        <f t="shared" si="38"/>
        <v>10</v>
      </c>
      <c r="G1243">
        <f t="shared" si="39"/>
        <v>2011</v>
      </c>
    </row>
    <row r="1244" spans="1:7" x14ac:dyDescent="0.25">
      <c r="A1244" t="s">
        <v>12</v>
      </c>
      <c r="B1244" t="s">
        <v>10</v>
      </c>
      <c r="C1244">
        <v>79.78</v>
      </c>
      <c r="D1244">
        <v>82.691559999999996</v>
      </c>
      <c r="E1244" s="1">
        <v>40848</v>
      </c>
      <c r="F1244">
        <f t="shared" si="38"/>
        <v>11</v>
      </c>
      <c r="G1244">
        <f t="shared" si="39"/>
        <v>2011</v>
      </c>
    </row>
    <row r="1245" spans="1:7" x14ac:dyDescent="0.25">
      <c r="A1245" t="s">
        <v>12</v>
      </c>
      <c r="B1245" t="s">
        <v>10</v>
      </c>
      <c r="C1245">
        <v>81.52</v>
      </c>
      <c r="D1245">
        <v>83.497429999999994</v>
      </c>
      <c r="E1245" s="1">
        <v>40878</v>
      </c>
      <c r="F1245">
        <f t="shared" si="38"/>
        <v>12</v>
      </c>
      <c r="G1245">
        <f t="shared" si="39"/>
        <v>2011</v>
      </c>
    </row>
    <row r="1246" spans="1:7" x14ac:dyDescent="0.25">
      <c r="A1246" t="s">
        <v>12</v>
      </c>
      <c r="B1246" t="s">
        <v>10</v>
      </c>
      <c r="C1246">
        <v>80.760000000000005</v>
      </c>
      <c r="D1246">
        <v>73.536749999999998</v>
      </c>
      <c r="E1246" s="1">
        <v>40909</v>
      </c>
      <c r="F1246">
        <f t="shared" si="38"/>
        <v>1</v>
      </c>
      <c r="G1246">
        <f t="shared" si="39"/>
        <v>2012</v>
      </c>
    </row>
    <row r="1247" spans="1:7" x14ac:dyDescent="0.25">
      <c r="A1247" t="s">
        <v>12</v>
      </c>
      <c r="B1247" t="s">
        <v>10</v>
      </c>
      <c r="C1247">
        <v>81.13</v>
      </c>
      <c r="D1247">
        <v>72.407939999999996</v>
      </c>
      <c r="E1247" s="1">
        <v>40940</v>
      </c>
      <c r="F1247">
        <f t="shared" si="38"/>
        <v>2</v>
      </c>
      <c r="G1247">
        <f t="shared" si="39"/>
        <v>2012</v>
      </c>
    </row>
    <row r="1248" spans="1:7" x14ac:dyDescent="0.25">
      <c r="A1248" t="s">
        <v>12</v>
      </c>
      <c r="B1248" t="s">
        <v>10</v>
      </c>
      <c r="C1248">
        <v>84.52</v>
      </c>
      <c r="D1248">
        <v>84.967600000000004</v>
      </c>
      <c r="E1248" s="1">
        <v>40969</v>
      </c>
      <c r="F1248">
        <f t="shared" si="38"/>
        <v>3</v>
      </c>
      <c r="G1248">
        <f t="shared" si="39"/>
        <v>2012</v>
      </c>
    </row>
    <row r="1249" spans="1:7" x14ac:dyDescent="0.25">
      <c r="A1249" t="s">
        <v>12</v>
      </c>
      <c r="B1249" t="s">
        <v>10</v>
      </c>
      <c r="C1249">
        <v>83.72</v>
      </c>
      <c r="D1249">
        <v>80.010810000000006</v>
      </c>
      <c r="E1249" s="1">
        <v>41000</v>
      </c>
      <c r="F1249">
        <f t="shared" si="38"/>
        <v>4</v>
      </c>
      <c r="G1249">
        <f t="shared" si="39"/>
        <v>2012</v>
      </c>
    </row>
    <row r="1250" spans="1:7" x14ac:dyDescent="0.25">
      <c r="A1250" t="s">
        <v>12</v>
      </c>
      <c r="B1250" t="s">
        <v>10</v>
      </c>
      <c r="C1250">
        <v>83.4</v>
      </c>
      <c r="D1250">
        <v>86.207470000000001</v>
      </c>
      <c r="E1250" s="1">
        <v>41030</v>
      </c>
      <c r="F1250">
        <f t="shared" si="38"/>
        <v>5</v>
      </c>
      <c r="G1250">
        <f t="shared" si="39"/>
        <v>2012</v>
      </c>
    </row>
    <row r="1251" spans="1:7" x14ac:dyDescent="0.25">
      <c r="A1251" t="s">
        <v>12</v>
      </c>
      <c r="B1251" t="s">
        <v>10</v>
      </c>
      <c r="C1251">
        <v>85.51</v>
      </c>
      <c r="D1251">
        <v>83.771190000000004</v>
      </c>
      <c r="E1251" s="1">
        <v>41061</v>
      </c>
      <c r="F1251">
        <f t="shared" si="38"/>
        <v>6</v>
      </c>
      <c r="G1251">
        <f t="shared" si="39"/>
        <v>2012</v>
      </c>
    </row>
    <row r="1252" spans="1:7" x14ac:dyDescent="0.25">
      <c r="A1252" t="s">
        <v>12</v>
      </c>
      <c r="B1252" t="s">
        <v>10</v>
      </c>
      <c r="C1252">
        <v>85.65</v>
      </c>
      <c r="D1252">
        <v>86.909549999999996</v>
      </c>
      <c r="E1252" s="1">
        <v>41091</v>
      </c>
      <c r="F1252">
        <f t="shared" si="38"/>
        <v>7</v>
      </c>
      <c r="G1252">
        <f t="shared" si="39"/>
        <v>2012</v>
      </c>
    </row>
    <row r="1253" spans="1:7" x14ac:dyDescent="0.25">
      <c r="A1253" t="s">
        <v>12</v>
      </c>
      <c r="B1253" t="s">
        <v>10</v>
      </c>
      <c r="C1253">
        <v>89.78</v>
      </c>
      <c r="D1253">
        <v>96.355379999999997</v>
      </c>
      <c r="E1253" s="1">
        <v>41122</v>
      </c>
      <c r="F1253">
        <f t="shared" si="38"/>
        <v>8</v>
      </c>
      <c r="G1253">
        <f t="shared" si="39"/>
        <v>2012</v>
      </c>
    </row>
    <row r="1254" spans="1:7" x14ac:dyDescent="0.25">
      <c r="A1254" t="s">
        <v>12</v>
      </c>
      <c r="B1254" t="s">
        <v>10</v>
      </c>
      <c r="C1254">
        <v>89.35</v>
      </c>
      <c r="D1254">
        <v>91.538790000000006</v>
      </c>
      <c r="E1254" s="1">
        <v>41153</v>
      </c>
      <c r="F1254">
        <f t="shared" si="38"/>
        <v>9</v>
      </c>
      <c r="G1254">
        <f t="shared" si="39"/>
        <v>2012</v>
      </c>
    </row>
    <row r="1255" spans="1:7" x14ac:dyDescent="0.25">
      <c r="A1255" t="s">
        <v>12</v>
      </c>
      <c r="B1255" t="s">
        <v>10</v>
      </c>
      <c r="C1255">
        <v>89.4</v>
      </c>
      <c r="D1255">
        <v>97.057869999999994</v>
      </c>
      <c r="E1255" s="1">
        <v>41183</v>
      </c>
      <c r="F1255">
        <f t="shared" si="38"/>
        <v>10</v>
      </c>
      <c r="G1255">
        <f t="shared" si="39"/>
        <v>2012</v>
      </c>
    </row>
    <row r="1256" spans="1:7" x14ac:dyDescent="0.25">
      <c r="A1256" t="s">
        <v>12</v>
      </c>
      <c r="B1256" t="s">
        <v>10</v>
      </c>
      <c r="C1256">
        <v>90.27</v>
      </c>
      <c r="D1256">
        <v>93.008139999999997</v>
      </c>
      <c r="E1256" s="1">
        <v>41214</v>
      </c>
      <c r="F1256">
        <f t="shared" si="38"/>
        <v>11</v>
      </c>
      <c r="G1256">
        <f t="shared" si="39"/>
        <v>2012</v>
      </c>
    </row>
    <row r="1257" spans="1:7" x14ac:dyDescent="0.25">
      <c r="A1257" t="s">
        <v>12</v>
      </c>
      <c r="B1257" t="s">
        <v>10</v>
      </c>
      <c r="C1257">
        <v>88.4</v>
      </c>
      <c r="D1257">
        <v>89.172030000000007</v>
      </c>
      <c r="E1257" s="1">
        <v>41244</v>
      </c>
      <c r="F1257">
        <f t="shared" si="38"/>
        <v>12</v>
      </c>
      <c r="G1257">
        <f t="shared" si="39"/>
        <v>2012</v>
      </c>
    </row>
    <row r="1258" spans="1:7" x14ac:dyDescent="0.25">
      <c r="A1258" t="s">
        <v>12</v>
      </c>
      <c r="B1258" t="s">
        <v>10</v>
      </c>
      <c r="C1258">
        <v>90.55</v>
      </c>
      <c r="D1258">
        <v>84.143150000000006</v>
      </c>
      <c r="E1258" s="1">
        <v>41275</v>
      </c>
      <c r="F1258">
        <f t="shared" si="38"/>
        <v>1</v>
      </c>
      <c r="G1258">
        <f t="shared" si="39"/>
        <v>2013</v>
      </c>
    </row>
    <row r="1259" spans="1:7" x14ac:dyDescent="0.25">
      <c r="A1259" t="s">
        <v>12</v>
      </c>
      <c r="B1259" t="s">
        <v>10</v>
      </c>
      <c r="C1259">
        <v>90.31</v>
      </c>
      <c r="D1259">
        <v>77.529030000000006</v>
      </c>
      <c r="E1259" s="1">
        <v>41306</v>
      </c>
      <c r="F1259">
        <f t="shared" si="38"/>
        <v>2</v>
      </c>
      <c r="G1259">
        <f t="shared" si="39"/>
        <v>2013</v>
      </c>
    </row>
    <row r="1260" spans="1:7" x14ac:dyDescent="0.25">
      <c r="A1260" t="s">
        <v>12</v>
      </c>
      <c r="B1260" t="s">
        <v>10</v>
      </c>
      <c r="C1260">
        <v>90.74</v>
      </c>
      <c r="D1260">
        <v>88.072329999999994</v>
      </c>
      <c r="E1260" s="1">
        <v>41334</v>
      </c>
      <c r="F1260">
        <f t="shared" si="38"/>
        <v>3</v>
      </c>
      <c r="G1260">
        <f t="shared" si="39"/>
        <v>2013</v>
      </c>
    </row>
    <row r="1261" spans="1:7" x14ac:dyDescent="0.25">
      <c r="A1261" t="s">
        <v>12</v>
      </c>
      <c r="B1261" t="s">
        <v>10</v>
      </c>
      <c r="C1261">
        <v>92.68</v>
      </c>
      <c r="D1261">
        <v>91.910089999999997</v>
      </c>
      <c r="E1261" s="1">
        <v>41365</v>
      </c>
      <c r="F1261">
        <f t="shared" si="38"/>
        <v>4</v>
      </c>
      <c r="G1261">
        <f t="shared" si="39"/>
        <v>2013</v>
      </c>
    </row>
    <row r="1262" spans="1:7" x14ac:dyDescent="0.25">
      <c r="A1262" t="s">
        <v>12</v>
      </c>
      <c r="B1262" t="s">
        <v>10</v>
      </c>
      <c r="C1262">
        <v>92.2</v>
      </c>
      <c r="D1262">
        <v>94.225620000000006</v>
      </c>
      <c r="E1262" s="1">
        <v>41395</v>
      </c>
      <c r="F1262">
        <f t="shared" si="38"/>
        <v>5</v>
      </c>
      <c r="G1262">
        <f t="shared" si="39"/>
        <v>2013</v>
      </c>
    </row>
    <row r="1263" spans="1:7" x14ac:dyDescent="0.25">
      <c r="A1263" t="s">
        <v>12</v>
      </c>
      <c r="B1263" t="s">
        <v>10</v>
      </c>
      <c r="C1263">
        <v>91.8</v>
      </c>
      <c r="D1263">
        <v>89.352249999999998</v>
      </c>
      <c r="E1263" s="1">
        <v>41426</v>
      </c>
      <c r="F1263">
        <f t="shared" si="38"/>
        <v>6</v>
      </c>
      <c r="G1263">
        <f t="shared" si="39"/>
        <v>2013</v>
      </c>
    </row>
    <row r="1264" spans="1:7" x14ac:dyDescent="0.25">
      <c r="A1264" t="s">
        <v>12</v>
      </c>
      <c r="B1264" t="s">
        <v>10</v>
      </c>
      <c r="C1264">
        <v>92.78</v>
      </c>
      <c r="D1264">
        <v>95.754050000000007</v>
      </c>
      <c r="E1264" s="1">
        <v>41456</v>
      </c>
      <c r="F1264">
        <f t="shared" si="38"/>
        <v>7</v>
      </c>
      <c r="G1264">
        <f t="shared" si="39"/>
        <v>2013</v>
      </c>
    </row>
    <row r="1265" spans="1:7" x14ac:dyDescent="0.25">
      <c r="A1265" t="s">
        <v>12</v>
      </c>
      <c r="B1265" t="s">
        <v>10</v>
      </c>
      <c r="C1265">
        <v>92.85</v>
      </c>
      <c r="D1265">
        <v>98.412580000000005</v>
      </c>
      <c r="E1265" s="1">
        <v>41487</v>
      </c>
      <c r="F1265">
        <f t="shared" si="38"/>
        <v>8</v>
      </c>
      <c r="G1265">
        <f t="shared" si="39"/>
        <v>2013</v>
      </c>
    </row>
    <row r="1266" spans="1:7" x14ac:dyDescent="0.25">
      <c r="A1266" t="s">
        <v>12</v>
      </c>
      <c r="B1266" t="s">
        <v>10</v>
      </c>
      <c r="C1266">
        <v>93.75</v>
      </c>
      <c r="D1266">
        <v>96.796090000000007</v>
      </c>
      <c r="E1266" s="1">
        <v>41518</v>
      </c>
      <c r="F1266">
        <f t="shared" si="38"/>
        <v>9</v>
      </c>
      <c r="G1266">
        <f t="shared" si="39"/>
        <v>2013</v>
      </c>
    </row>
    <row r="1267" spans="1:7" x14ac:dyDescent="0.25">
      <c r="A1267" t="s">
        <v>12</v>
      </c>
      <c r="B1267" t="s">
        <v>10</v>
      </c>
      <c r="C1267">
        <v>95.01</v>
      </c>
      <c r="D1267">
        <v>103.21037</v>
      </c>
      <c r="E1267" s="1">
        <v>41548</v>
      </c>
      <c r="F1267">
        <f t="shared" si="38"/>
        <v>10</v>
      </c>
      <c r="G1267">
        <f t="shared" si="39"/>
        <v>2013</v>
      </c>
    </row>
    <row r="1268" spans="1:7" x14ac:dyDescent="0.25">
      <c r="A1268" t="s">
        <v>12</v>
      </c>
      <c r="B1268" t="s">
        <v>10</v>
      </c>
      <c r="C1268">
        <v>94.67</v>
      </c>
      <c r="D1268">
        <v>96.511610000000005</v>
      </c>
      <c r="E1268" s="1">
        <v>41579</v>
      </c>
      <c r="F1268">
        <f t="shared" si="38"/>
        <v>11</v>
      </c>
      <c r="G1268">
        <f t="shared" si="39"/>
        <v>2013</v>
      </c>
    </row>
    <row r="1269" spans="1:7" x14ac:dyDescent="0.25">
      <c r="A1269" t="s">
        <v>12</v>
      </c>
      <c r="B1269" t="s">
        <v>10</v>
      </c>
      <c r="C1269">
        <v>94.59</v>
      </c>
      <c r="D1269">
        <v>96.482740000000007</v>
      </c>
      <c r="E1269" s="1">
        <v>41609</v>
      </c>
      <c r="F1269">
        <f t="shared" si="38"/>
        <v>12</v>
      </c>
      <c r="G1269">
        <f t="shared" si="39"/>
        <v>2013</v>
      </c>
    </row>
    <row r="1270" spans="1:7" x14ac:dyDescent="0.25">
      <c r="A1270" t="s">
        <v>12</v>
      </c>
      <c r="B1270" t="s">
        <v>10</v>
      </c>
      <c r="C1270">
        <v>95.49</v>
      </c>
      <c r="D1270">
        <v>88.815770000000001</v>
      </c>
      <c r="E1270" s="1">
        <v>41640</v>
      </c>
      <c r="F1270">
        <f t="shared" si="38"/>
        <v>1</v>
      </c>
      <c r="G1270">
        <f t="shared" si="39"/>
        <v>2014</v>
      </c>
    </row>
    <row r="1271" spans="1:7" x14ac:dyDescent="0.25">
      <c r="A1271" t="s">
        <v>12</v>
      </c>
      <c r="B1271" t="s">
        <v>10</v>
      </c>
      <c r="C1271">
        <v>95.51</v>
      </c>
      <c r="D1271">
        <v>85.819540000000003</v>
      </c>
      <c r="E1271" s="1">
        <v>41671</v>
      </c>
      <c r="F1271">
        <f t="shared" si="38"/>
        <v>2</v>
      </c>
      <c r="G1271">
        <f t="shared" si="39"/>
        <v>2014</v>
      </c>
    </row>
    <row r="1272" spans="1:7" x14ac:dyDescent="0.25">
      <c r="A1272" t="s">
        <v>12</v>
      </c>
      <c r="B1272" t="s">
        <v>10</v>
      </c>
      <c r="C1272">
        <v>95.22</v>
      </c>
      <c r="D1272">
        <v>90.347560000000001</v>
      </c>
      <c r="E1272" s="1">
        <v>41699</v>
      </c>
      <c r="F1272">
        <f t="shared" si="38"/>
        <v>3</v>
      </c>
      <c r="G1272">
        <f t="shared" si="39"/>
        <v>2014</v>
      </c>
    </row>
    <row r="1273" spans="1:7" x14ac:dyDescent="0.25">
      <c r="A1273" t="s">
        <v>12</v>
      </c>
      <c r="B1273" t="s">
        <v>10</v>
      </c>
      <c r="C1273">
        <v>95.4</v>
      </c>
      <c r="D1273">
        <v>92.860330000000005</v>
      </c>
      <c r="E1273" s="1">
        <v>41730</v>
      </c>
      <c r="F1273">
        <f t="shared" si="38"/>
        <v>4</v>
      </c>
      <c r="G1273">
        <f t="shared" si="39"/>
        <v>2014</v>
      </c>
    </row>
    <row r="1274" spans="1:7" x14ac:dyDescent="0.25">
      <c r="A1274" t="s">
        <v>12</v>
      </c>
      <c r="B1274" t="s">
        <v>10</v>
      </c>
      <c r="C1274">
        <v>94.77</v>
      </c>
      <c r="D1274">
        <v>96.675309999999996</v>
      </c>
      <c r="E1274" s="1">
        <v>41760</v>
      </c>
      <c r="F1274">
        <f t="shared" si="38"/>
        <v>5</v>
      </c>
      <c r="G1274">
        <f t="shared" si="39"/>
        <v>2014</v>
      </c>
    </row>
    <row r="1275" spans="1:7" x14ac:dyDescent="0.25">
      <c r="A1275" t="s">
        <v>12</v>
      </c>
      <c r="B1275" t="s">
        <v>10</v>
      </c>
      <c r="C1275">
        <v>94.4</v>
      </c>
      <c r="D1275">
        <v>91.65616</v>
      </c>
      <c r="E1275" s="1">
        <v>41791</v>
      </c>
      <c r="F1275">
        <f t="shared" si="38"/>
        <v>6</v>
      </c>
      <c r="G1275">
        <f t="shared" si="39"/>
        <v>2014</v>
      </c>
    </row>
    <row r="1276" spans="1:7" x14ac:dyDescent="0.25">
      <c r="A1276" t="s">
        <v>12</v>
      </c>
      <c r="B1276" t="s">
        <v>10</v>
      </c>
      <c r="C1276">
        <v>95.86</v>
      </c>
      <c r="D1276">
        <v>99.213880000000003</v>
      </c>
      <c r="E1276" s="1">
        <v>41821</v>
      </c>
      <c r="F1276">
        <f t="shared" si="38"/>
        <v>7</v>
      </c>
      <c r="G1276">
        <f t="shared" si="39"/>
        <v>2014</v>
      </c>
    </row>
    <row r="1277" spans="1:7" x14ac:dyDescent="0.25">
      <c r="A1277" t="s">
        <v>12</v>
      </c>
      <c r="B1277" t="s">
        <v>10</v>
      </c>
      <c r="C1277">
        <v>94.65</v>
      </c>
      <c r="D1277">
        <v>98.929850000000002</v>
      </c>
      <c r="E1277" s="1">
        <v>41852</v>
      </c>
      <c r="F1277">
        <f t="shared" si="38"/>
        <v>8</v>
      </c>
      <c r="G1277">
        <f t="shared" si="39"/>
        <v>2014</v>
      </c>
    </row>
    <row r="1278" spans="1:7" x14ac:dyDescent="0.25">
      <c r="A1278" t="s">
        <v>12</v>
      </c>
      <c r="B1278" t="s">
        <v>10</v>
      </c>
      <c r="C1278">
        <v>95.35</v>
      </c>
      <c r="D1278">
        <v>99.846220000000002</v>
      </c>
      <c r="E1278" s="1">
        <v>41883</v>
      </c>
      <c r="F1278">
        <f t="shared" si="38"/>
        <v>9</v>
      </c>
      <c r="G1278">
        <f t="shared" si="39"/>
        <v>2014</v>
      </c>
    </row>
    <row r="1279" spans="1:7" x14ac:dyDescent="0.25">
      <c r="A1279" t="s">
        <v>12</v>
      </c>
      <c r="B1279" t="s">
        <v>10</v>
      </c>
      <c r="C1279">
        <v>93.97</v>
      </c>
      <c r="D1279">
        <v>101.66555</v>
      </c>
      <c r="E1279" s="1">
        <v>41913</v>
      </c>
      <c r="F1279">
        <f t="shared" si="38"/>
        <v>10</v>
      </c>
      <c r="G1279">
        <f t="shared" si="39"/>
        <v>2014</v>
      </c>
    </row>
    <row r="1280" spans="1:7" x14ac:dyDescent="0.25">
      <c r="A1280" t="s">
        <v>12</v>
      </c>
      <c r="B1280" t="s">
        <v>10</v>
      </c>
      <c r="C1280">
        <v>97.36</v>
      </c>
      <c r="D1280">
        <v>97.675219999999996</v>
      </c>
      <c r="E1280" s="1">
        <v>41944</v>
      </c>
      <c r="F1280">
        <f t="shared" si="38"/>
        <v>11</v>
      </c>
      <c r="G1280">
        <f t="shared" si="39"/>
        <v>2014</v>
      </c>
    </row>
    <row r="1281" spans="1:7" x14ac:dyDescent="0.25">
      <c r="A1281" t="s">
        <v>12</v>
      </c>
      <c r="B1281" t="s">
        <v>10</v>
      </c>
      <c r="C1281">
        <v>94.48</v>
      </c>
      <c r="D1281">
        <v>98.138710000000003</v>
      </c>
      <c r="E1281" s="1">
        <v>41974</v>
      </c>
      <c r="F1281">
        <f t="shared" si="38"/>
        <v>12</v>
      </c>
      <c r="G1281">
        <f t="shared" si="39"/>
        <v>2014</v>
      </c>
    </row>
    <row r="1282" spans="1:7" x14ac:dyDescent="0.25">
      <c r="A1282" t="s">
        <v>12</v>
      </c>
      <c r="B1282" t="s">
        <v>10</v>
      </c>
      <c r="C1282">
        <v>89.91</v>
      </c>
      <c r="D1282">
        <v>82.871570000000006</v>
      </c>
      <c r="E1282" s="1">
        <v>42005</v>
      </c>
      <c r="F1282">
        <f t="shared" ref="F1282:F1345" si="40">MONTH(E1282)</f>
        <v>1</v>
      </c>
      <c r="G1282">
        <f t="shared" ref="G1282:G1345" si="41">YEAR(E1282)</f>
        <v>2015</v>
      </c>
    </row>
    <row r="1283" spans="1:7" x14ac:dyDescent="0.25">
      <c r="A1283" t="s">
        <v>12</v>
      </c>
      <c r="B1283" t="s">
        <v>10</v>
      </c>
      <c r="C1283">
        <v>90.13</v>
      </c>
      <c r="D1283">
        <v>78.002859999999998</v>
      </c>
      <c r="E1283" s="1">
        <v>42036</v>
      </c>
      <c r="F1283">
        <f t="shared" si="40"/>
        <v>2</v>
      </c>
      <c r="G1283">
        <f t="shared" si="41"/>
        <v>2015</v>
      </c>
    </row>
    <row r="1284" spans="1:7" x14ac:dyDescent="0.25">
      <c r="A1284" t="s">
        <v>12</v>
      </c>
      <c r="B1284" t="s">
        <v>10</v>
      </c>
      <c r="C1284">
        <v>93.6</v>
      </c>
      <c r="D1284">
        <v>93.477959999999996</v>
      </c>
      <c r="E1284" s="1">
        <v>42064</v>
      </c>
      <c r="F1284">
        <f t="shared" si="40"/>
        <v>3</v>
      </c>
      <c r="G1284">
        <f t="shared" si="41"/>
        <v>2015</v>
      </c>
    </row>
    <row r="1285" spans="1:7" x14ac:dyDescent="0.25">
      <c r="A1285" t="s">
        <v>12</v>
      </c>
      <c r="B1285" t="s">
        <v>10</v>
      </c>
      <c r="C1285">
        <v>89.05</v>
      </c>
      <c r="D1285">
        <v>86.185280000000006</v>
      </c>
      <c r="E1285" s="1">
        <v>42095</v>
      </c>
      <c r="F1285">
        <f t="shared" si="40"/>
        <v>4</v>
      </c>
      <c r="G1285">
        <f t="shared" si="41"/>
        <v>2015</v>
      </c>
    </row>
    <row r="1286" spans="1:7" x14ac:dyDescent="0.25">
      <c r="A1286" t="s">
        <v>12</v>
      </c>
      <c r="B1286" t="s">
        <v>10</v>
      </c>
      <c r="C1286">
        <v>88.76</v>
      </c>
      <c r="D1286">
        <v>89.420259999999999</v>
      </c>
      <c r="E1286" s="1">
        <v>42125</v>
      </c>
      <c r="F1286">
        <f t="shared" si="40"/>
        <v>5</v>
      </c>
      <c r="G1286">
        <f t="shared" si="41"/>
        <v>2015</v>
      </c>
    </row>
    <row r="1287" spans="1:7" x14ac:dyDescent="0.25">
      <c r="A1287" t="s">
        <v>12</v>
      </c>
      <c r="B1287" t="s">
        <v>10</v>
      </c>
      <c r="C1287">
        <v>86.33</v>
      </c>
      <c r="D1287">
        <v>85.357399999999998</v>
      </c>
      <c r="E1287" s="1">
        <v>42156</v>
      </c>
      <c r="F1287">
        <f t="shared" si="40"/>
        <v>6</v>
      </c>
      <c r="G1287">
        <f t="shared" si="41"/>
        <v>2015</v>
      </c>
    </row>
    <row r="1288" spans="1:7" x14ac:dyDescent="0.25">
      <c r="A1288" t="s">
        <v>12</v>
      </c>
      <c r="B1288" t="s">
        <v>10</v>
      </c>
      <c r="C1288">
        <v>85.67</v>
      </c>
      <c r="D1288">
        <v>88.651570000000007</v>
      </c>
      <c r="E1288" s="1">
        <v>42186</v>
      </c>
      <c r="F1288">
        <f t="shared" si="40"/>
        <v>7</v>
      </c>
      <c r="G1288">
        <f t="shared" si="41"/>
        <v>2015</v>
      </c>
    </row>
    <row r="1289" spans="1:7" x14ac:dyDescent="0.25">
      <c r="A1289" t="s">
        <v>12</v>
      </c>
      <c r="B1289" t="s">
        <v>10</v>
      </c>
      <c r="C1289">
        <v>88.56</v>
      </c>
      <c r="D1289">
        <v>92.295019999999994</v>
      </c>
      <c r="E1289" s="1">
        <v>42217</v>
      </c>
      <c r="F1289">
        <f t="shared" si="40"/>
        <v>8</v>
      </c>
      <c r="G1289">
        <f t="shared" si="41"/>
        <v>2015</v>
      </c>
    </row>
    <row r="1290" spans="1:7" x14ac:dyDescent="0.25">
      <c r="A1290" t="s">
        <v>12</v>
      </c>
      <c r="B1290" t="s">
        <v>10</v>
      </c>
      <c r="C1290">
        <v>85.03</v>
      </c>
      <c r="D1290">
        <v>89.347290000000001</v>
      </c>
      <c r="E1290" s="1">
        <v>42248</v>
      </c>
      <c r="F1290">
        <f t="shared" si="40"/>
        <v>9</v>
      </c>
      <c r="G1290">
        <f t="shared" si="41"/>
        <v>2015</v>
      </c>
    </row>
    <row r="1291" spans="1:7" x14ac:dyDescent="0.25">
      <c r="A1291" t="s">
        <v>12</v>
      </c>
      <c r="B1291" t="s">
        <v>10</v>
      </c>
      <c r="C1291">
        <v>86.55</v>
      </c>
      <c r="D1291">
        <v>92.056349999999995</v>
      </c>
      <c r="E1291" s="1">
        <v>42278</v>
      </c>
      <c r="F1291">
        <f t="shared" si="40"/>
        <v>10</v>
      </c>
      <c r="G1291">
        <f t="shared" si="41"/>
        <v>2015</v>
      </c>
    </row>
    <row r="1292" spans="1:7" x14ac:dyDescent="0.25">
      <c r="A1292" t="s">
        <v>12</v>
      </c>
      <c r="B1292" t="s">
        <v>10</v>
      </c>
      <c r="C1292">
        <v>84.8</v>
      </c>
      <c r="D1292">
        <v>85.605109999999996</v>
      </c>
      <c r="E1292" s="1">
        <v>42309</v>
      </c>
      <c r="F1292">
        <f t="shared" si="40"/>
        <v>11</v>
      </c>
      <c r="G1292">
        <f t="shared" si="41"/>
        <v>2015</v>
      </c>
    </row>
    <row r="1293" spans="1:7" x14ac:dyDescent="0.25">
      <c r="A1293" t="s">
        <v>12</v>
      </c>
      <c r="B1293" t="s">
        <v>10</v>
      </c>
      <c r="C1293">
        <v>83.02</v>
      </c>
      <c r="D1293">
        <v>86.648759999999996</v>
      </c>
      <c r="E1293" s="1">
        <v>42339</v>
      </c>
      <c r="F1293">
        <f t="shared" si="40"/>
        <v>12</v>
      </c>
      <c r="G1293">
        <f t="shared" si="41"/>
        <v>2015</v>
      </c>
    </row>
    <row r="1294" spans="1:7" x14ac:dyDescent="0.25">
      <c r="A1294" t="s">
        <v>12</v>
      </c>
      <c r="B1294" t="s">
        <v>10</v>
      </c>
      <c r="C1294">
        <v>84.11</v>
      </c>
      <c r="D1294">
        <v>76.716009999999997</v>
      </c>
      <c r="E1294" s="1">
        <v>42370</v>
      </c>
      <c r="F1294">
        <f t="shared" si="40"/>
        <v>1</v>
      </c>
      <c r="G1294">
        <f t="shared" si="41"/>
        <v>2016</v>
      </c>
    </row>
    <row r="1295" spans="1:7" x14ac:dyDescent="0.25">
      <c r="A1295" t="s">
        <v>12</v>
      </c>
      <c r="B1295" t="s">
        <v>10</v>
      </c>
      <c r="C1295">
        <v>85.19</v>
      </c>
      <c r="D1295">
        <v>76.666780000000003</v>
      </c>
      <c r="E1295" s="1">
        <v>42401</v>
      </c>
      <c r="F1295">
        <f t="shared" si="40"/>
        <v>2</v>
      </c>
      <c r="G1295">
        <f t="shared" si="41"/>
        <v>2016</v>
      </c>
    </row>
    <row r="1296" spans="1:7" x14ac:dyDescent="0.25">
      <c r="A1296" t="s">
        <v>12</v>
      </c>
      <c r="B1296" t="s">
        <v>10</v>
      </c>
      <c r="C1296">
        <v>88.07</v>
      </c>
      <c r="D1296">
        <v>87.297650000000004</v>
      </c>
      <c r="E1296" s="1">
        <v>42430</v>
      </c>
      <c r="F1296">
        <f t="shared" si="40"/>
        <v>3</v>
      </c>
      <c r="G1296">
        <f t="shared" si="41"/>
        <v>2016</v>
      </c>
    </row>
    <row r="1297" spans="1:7" x14ac:dyDescent="0.25">
      <c r="A1297" t="s">
        <v>12</v>
      </c>
      <c r="B1297" t="s">
        <v>10</v>
      </c>
      <c r="C1297">
        <v>81.8</v>
      </c>
      <c r="D1297">
        <v>79.728229999999996</v>
      </c>
      <c r="E1297" s="1">
        <v>42461</v>
      </c>
      <c r="F1297">
        <f t="shared" si="40"/>
        <v>4</v>
      </c>
      <c r="G1297">
        <f t="shared" si="41"/>
        <v>2016</v>
      </c>
    </row>
    <row r="1298" spans="1:7" x14ac:dyDescent="0.25">
      <c r="A1298" t="s">
        <v>12</v>
      </c>
      <c r="B1298" t="s">
        <v>10</v>
      </c>
      <c r="C1298">
        <v>82.58</v>
      </c>
      <c r="D1298">
        <v>81.738690000000005</v>
      </c>
      <c r="E1298" s="1">
        <v>42491</v>
      </c>
      <c r="F1298">
        <f t="shared" si="40"/>
        <v>5</v>
      </c>
      <c r="G1298">
        <f t="shared" si="41"/>
        <v>2016</v>
      </c>
    </row>
    <row r="1299" spans="1:7" x14ac:dyDescent="0.25">
      <c r="A1299" t="s">
        <v>12</v>
      </c>
      <c r="B1299" t="s">
        <v>10</v>
      </c>
      <c r="C1299">
        <v>82.16</v>
      </c>
      <c r="D1299">
        <v>84.15558</v>
      </c>
      <c r="E1299" s="1">
        <v>42522</v>
      </c>
      <c r="F1299">
        <f t="shared" si="40"/>
        <v>6</v>
      </c>
      <c r="G1299">
        <f t="shared" si="41"/>
        <v>2016</v>
      </c>
    </row>
    <row r="1300" spans="1:7" x14ac:dyDescent="0.25">
      <c r="A1300" t="s">
        <v>12</v>
      </c>
      <c r="B1300" t="s">
        <v>10</v>
      </c>
      <c r="C1300">
        <v>82.36</v>
      </c>
      <c r="D1300">
        <v>83.170240000000007</v>
      </c>
      <c r="E1300" s="1">
        <v>42552</v>
      </c>
      <c r="F1300">
        <f t="shared" si="40"/>
        <v>7</v>
      </c>
      <c r="G1300">
        <f t="shared" si="41"/>
        <v>2016</v>
      </c>
    </row>
    <row r="1301" spans="1:7" x14ac:dyDescent="0.25">
      <c r="A1301" t="s">
        <v>12</v>
      </c>
      <c r="B1301" t="s">
        <v>10</v>
      </c>
      <c r="C1301">
        <v>81.25</v>
      </c>
      <c r="D1301">
        <v>87.038120000000006</v>
      </c>
      <c r="E1301" s="1">
        <v>42583</v>
      </c>
      <c r="F1301">
        <f t="shared" si="40"/>
        <v>8</v>
      </c>
      <c r="G1301">
        <f t="shared" si="41"/>
        <v>2016</v>
      </c>
    </row>
    <row r="1302" spans="1:7" x14ac:dyDescent="0.25">
      <c r="A1302" t="s">
        <v>12</v>
      </c>
      <c r="B1302" t="s">
        <v>10</v>
      </c>
      <c r="C1302">
        <v>82.11</v>
      </c>
      <c r="D1302">
        <v>85.635999999999996</v>
      </c>
      <c r="E1302" s="1">
        <v>42614</v>
      </c>
      <c r="F1302">
        <f t="shared" si="40"/>
        <v>9</v>
      </c>
      <c r="G1302">
        <f t="shared" si="41"/>
        <v>2016</v>
      </c>
    </row>
    <row r="1303" spans="1:7" x14ac:dyDescent="0.25">
      <c r="A1303" t="s">
        <v>12</v>
      </c>
      <c r="B1303" t="s">
        <v>10</v>
      </c>
      <c r="C1303">
        <v>80.41</v>
      </c>
      <c r="D1303">
        <v>83.771169999999998</v>
      </c>
      <c r="E1303" s="1">
        <v>42644</v>
      </c>
      <c r="F1303">
        <f t="shared" si="40"/>
        <v>10</v>
      </c>
      <c r="G1303">
        <f t="shared" si="41"/>
        <v>2016</v>
      </c>
    </row>
    <row r="1304" spans="1:7" x14ac:dyDescent="0.25">
      <c r="A1304" t="s">
        <v>12</v>
      </c>
      <c r="B1304" t="s">
        <v>10</v>
      </c>
      <c r="C1304">
        <v>80.06</v>
      </c>
      <c r="D1304">
        <v>82.512919999999994</v>
      </c>
      <c r="E1304" s="1">
        <v>42675</v>
      </c>
      <c r="F1304">
        <f t="shared" si="40"/>
        <v>11</v>
      </c>
      <c r="G1304">
        <f t="shared" si="41"/>
        <v>2016</v>
      </c>
    </row>
    <row r="1305" spans="1:7" x14ac:dyDescent="0.25">
      <c r="A1305" t="s">
        <v>12</v>
      </c>
      <c r="B1305" t="s">
        <v>10</v>
      </c>
      <c r="C1305">
        <v>81.5</v>
      </c>
      <c r="D1305">
        <v>84.168570000000003</v>
      </c>
      <c r="E1305" s="1">
        <v>42705</v>
      </c>
      <c r="F1305">
        <f t="shared" si="40"/>
        <v>12</v>
      </c>
      <c r="G1305">
        <f t="shared" si="41"/>
        <v>2016</v>
      </c>
    </row>
    <row r="1306" spans="1:7" x14ac:dyDescent="0.25">
      <c r="A1306" t="s">
        <v>12</v>
      </c>
      <c r="B1306" t="s">
        <v>10</v>
      </c>
      <c r="C1306">
        <v>83.06</v>
      </c>
      <c r="D1306">
        <v>76.674040000000005</v>
      </c>
      <c r="E1306" s="1">
        <v>42736</v>
      </c>
      <c r="F1306">
        <f t="shared" si="40"/>
        <v>1</v>
      </c>
      <c r="G1306">
        <f t="shared" si="41"/>
        <v>2017</v>
      </c>
    </row>
    <row r="1307" spans="1:7" x14ac:dyDescent="0.25">
      <c r="A1307" t="s">
        <v>12</v>
      </c>
      <c r="B1307" t="s">
        <v>10</v>
      </c>
      <c r="C1307">
        <v>84.92</v>
      </c>
      <c r="D1307">
        <v>73.835369999999998</v>
      </c>
      <c r="E1307" s="1">
        <v>42767</v>
      </c>
      <c r="F1307">
        <f t="shared" si="40"/>
        <v>2</v>
      </c>
      <c r="G1307">
        <f t="shared" si="41"/>
        <v>2017</v>
      </c>
    </row>
    <row r="1308" spans="1:7" x14ac:dyDescent="0.25">
      <c r="A1308" t="s">
        <v>12</v>
      </c>
      <c r="B1308" t="s">
        <v>10</v>
      </c>
      <c r="C1308">
        <v>84.84</v>
      </c>
      <c r="D1308">
        <v>85.659090000000006</v>
      </c>
      <c r="E1308" s="1">
        <v>42795</v>
      </c>
      <c r="F1308">
        <f t="shared" si="40"/>
        <v>3</v>
      </c>
      <c r="G1308">
        <f t="shared" si="41"/>
        <v>2017</v>
      </c>
    </row>
    <row r="1309" spans="1:7" x14ac:dyDescent="0.25">
      <c r="A1309" t="s">
        <v>12</v>
      </c>
      <c r="B1309" t="s">
        <v>10</v>
      </c>
      <c r="C1309">
        <v>86.39</v>
      </c>
      <c r="D1309">
        <v>80.868200000000002</v>
      </c>
      <c r="E1309" s="1">
        <v>42826</v>
      </c>
      <c r="F1309">
        <f t="shared" si="40"/>
        <v>4</v>
      </c>
      <c r="G1309">
        <f t="shared" si="41"/>
        <v>2017</v>
      </c>
    </row>
    <row r="1310" spans="1:7" x14ac:dyDescent="0.25">
      <c r="A1310" t="s">
        <v>12</v>
      </c>
      <c r="B1310" t="s">
        <v>10</v>
      </c>
      <c r="C1310">
        <v>84.6</v>
      </c>
      <c r="D1310">
        <v>87.779480000000007</v>
      </c>
      <c r="E1310" s="1">
        <v>42856</v>
      </c>
      <c r="F1310">
        <f t="shared" si="40"/>
        <v>5</v>
      </c>
      <c r="G1310">
        <f t="shared" si="41"/>
        <v>2017</v>
      </c>
    </row>
    <row r="1311" spans="1:7" x14ac:dyDescent="0.25">
      <c r="A1311" t="s">
        <v>12</v>
      </c>
      <c r="B1311" t="s">
        <v>10</v>
      </c>
      <c r="C1311">
        <v>87.57</v>
      </c>
      <c r="D1311">
        <v>87.268159999999995</v>
      </c>
      <c r="E1311" s="1">
        <v>42887</v>
      </c>
      <c r="F1311">
        <f t="shared" si="40"/>
        <v>6</v>
      </c>
      <c r="G1311">
        <f t="shared" si="41"/>
        <v>2017</v>
      </c>
    </row>
    <row r="1312" spans="1:7" x14ac:dyDescent="0.25">
      <c r="A1312" t="s">
        <v>12</v>
      </c>
      <c r="B1312" t="s">
        <v>10</v>
      </c>
      <c r="C1312">
        <v>86.78</v>
      </c>
      <c r="D1312">
        <v>87.44511</v>
      </c>
      <c r="E1312" s="1">
        <v>42917</v>
      </c>
      <c r="F1312">
        <f t="shared" si="40"/>
        <v>7</v>
      </c>
      <c r="G1312">
        <f t="shared" si="41"/>
        <v>2017</v>
      </c>
    </row>
    <row r="1313" spans="1:7" x14ac:dyDescent="0.25">
      <c r="A1313" t="s">
        <v>12</v>
      </c>
      <c r="B1313" t="s">
        <v>10</v>
      </c>
      <c r="C1313">
        <v>86.62</v>
      </c>
      <c r="D1313">
        <v>92.82826</v>
      </c>
      <c r="E1313" s="1">
        <v>42948</v>
      </c>
      <c r="F1313">
        <f t="shared" si="40"/>
        <v>8</v>
      </c>
      <c r="G1313">
        <f t="shared" si="41"/>
        <v>2017</v>
      </c>
    </row>
    <row r="1314" spans="1:7" x14ac:dyDescent="0.25">
      <c r="A1314" t="s">
        <v>12</v>
      </c>
      <c r="B1314" t="s">
        <v>10</v>
      </c>
      <c r="C1314">
        <v>85.15</v>
      </c>
      <c r="D1314">
        <v>87.999660000000006</v>
      </c>
      <c r="E1314" s="1">
        <v>42979</v>
      </c>
      <c r="F1314">
        <f t="shared" si="40"/>
        <v>9</v>
      </c>
      <c r="G1314">
        <f t="shared" si="41"/>
        <v>2017</v>
      </c>
    </row>
    <row r="1315" spans="1:7" x14ac:dyDescent="0.25">
      <c r="A1315" t="s">
        <v>12</v>
      </c>
      <c r="B1315" t="s">
        <v>10</v>
      </c>
      <c r="C1315">
        <v>86.7</v>
      </c>
      <c r="D1315">
        <v>90.786249999999995</v>
      </c>
      <c r="E1315" s="1">
        <v>43009</v>
      </c>
      <c r="F1315">
        <f t="shared" si="40"/>
        <v>10</v>
      </c>
      <c r="G1315">
        <f t="shared" si="41"/>
        <v>2017</v>
      </c>
    </row>
    <row r="1316" spans="1:7" x14ac:dyDescent="0.25">
      <c r="A1316" t="s">
        <v>12</v>
      </c>
      <c r="B1316" t="s">
        <v>10</v>
      </c>
      <c r="C1316">
        <v>87.09</v>
      </c>
      <c r="D1316">
        <v>89.729370000000003</v>
      </c>
      <c r="E1316" s="1">
        <v>43040</v>
      </c>
      <c r="F1316">
        <f t="shared" si="40"/>
        <v>11</v>
      </c>
      <c r="G1316">
        <f t="shared" si="41"/>
        <v>2017</v>
      </c>
    </row>
    <row r="1317" spans="1:7" x14ac:dyDescent="0.25">
      <c r="A1317" t="s">
        <v>12</v>
      </c>
      <c r="B1317" t="s">
        <v>10</v>
      </c>
      <c r="C1317">
        <v>88.84</v>
      </c>
      <c r="D1317">
        <v>90.660899999999998</v>
      </c>
      <c r="E1317" s="1">
        <v>43070</v>
      </c>
      <c r="F1317">
        <f t="shared" si="40"/>
        <v>12</v>
      </c>
      <c r="G1317">
        <f t="shared" si="41"/>
        <v>2017</v>
      </c>
    </row>
    <row r="1318" spans="1:7" x14ac:dyDescent="0.25">
      <c r="A1318" t="s">
        <v>12</v>
      </c>
      <c r="B1318" t="s">
        <v>10</v>
      </c>
      <c r="C1318">
        <v>86.53</v>
      </c>
      <c r="D1318">
        <v>81.546779999999998</v>
      </c>
      <c r="E1318" s="1">
        <v>43101</v>
      </c>
      <c r="F1318">
        <f t="shared" si="40"/>
        <v>1</v>
      </c>
      <c r="G1318">
        <f t="shared" si="41"/>
        <v>2018</v>
      </c>
    </row>
    <row r="1319" spans="1:7" x14ac:dyDescent="0.25">
      <c r="A1319" t="s">
        <v>12</v>
      </c>
      <c r="B1319" t="s">
        <v>10</v>
      </c>
      <c r="C1319">
        <v>85.77</v>
      </c>
      <c r="D1319">
        <v>74.66686</v>
      </c>
      <c r="E1319" s="1">
        <v>43132</v>
      </c>
      <c r="F1319">
        <f t="shared" si="40"/>
        <v>2</v>
      </c>
      <c r="G1319">
        <f t="shared" si="41"/>
        <v>2018</v>
      </c>
    </row>
    <row r="1320" spans="1:7" x14ac:dyDescent="0.25">
      <c r="A1320" t="s">
        <v>12</v>
      </c>
      <c r="B1320" t="s">
        <v>10</v>
      </c>
      <c r="C1320">
        <v>86.65</v>
      </c>
      <c r="D1320">
        <v>84.302000000000007</v>
      </c>
      <c r="E1320" s="1">
        <v>43160</v>
      </c>
      <c r="F1320">
        <f t="shared" si="40"/>
        <v>3</v>
      </c>
      <c r="G1320">
        <f t="shared" si="41"/>
        <v>2018</v>
      </c>
    </row>
    <row r="1321" spans="1:7" x14ac:dyDescent="0.25">
      <c r="A1321" t="s">
        <v>12</v>
      </c>
      <c r="B1321" t="s">
        <v>10</v>
      </c>
      <c r="C1321">
        <v>87.12</v>
      </c>
      <c r="D1321">
        <v>83.746449999999996</v>
      </c>
      <c r="E1321" s="1">
        <v>43191</v>
      </c>
      <c r="F1321">
        <f t="shared" si="40"/>
        <v>4</v>
      </c>
      <c r="G1321">
        <f t="shared" si="41"/>
        <v>2018</v>
      </c>
    </row>
    <row r="1322" spans="1:7" x14ac:dyDescent="0.25">
      <c r="A1322" t="s">
        <v>12</v>
      </c>
      <c r="B1322" t="s">
        <v>10</v>
      </c>
      <c r="C1322">
        <v>79.97</v>
      </c>
      <c r="D1322">
        <v>83.253699999999995</v>
      </c>
      <c r="E1322" s="1">
        <v>43221</v>
      </c>
      <c r="F1322">
        <f t="shared" si="40"/>
        <v>5</v>
      </c>
      <c r="G1322">
        <f t="shared" si="41"/>
        <v>2018</v>
      </c>
    </row>
    <row r="1323" spans="1:7" x14ac:dyDescent="0.25">
      <c r="A1323" t="s">
        <v>12</v>
      </c>
      <c r="B1323" t="s">
        <v>10</v>
      </c>
      <c r="C1323">
        <v>93.57</v>
      </c>
      <c r="D1323">
        <v>92.842290000000006</v>
      </c>
      <c r="E1323" s="1">
        <v>43252</v>
      </c>
      <c r="F1323">
        <f t="shared" si="40"/>
        <v>6</v>
      </c>
      <c r="G1323">
        <f t="shared" si="41"/>
        <v>2018</v>
      </c>
    </row>
    <row r="1324" spans="1:7" x14ac:dyDescent="0.25">
      <c r="A1324" t="s">
        <v>12</v>
      </c>
      <c r="B1324" t="s">
        <v>10</v>
      </c>
      <c r="C1324">
        <v>88.13</v>
      </c>
      <c r="D1324">
        <v>89.729339999999993</v>
      </c>
      <c r="E1324" s="1">
        <v>43282</v>
      </c>
      <c r="F1324">
        <f t="shared" si="40"/>
        <v>7</v>
      </c>
      <c r="G1324">
        <f t="shared" si="41"/>
        <v>2018</v>
      </c>
    </row>
    <row r="1325" spans="1:7" x14ac:dyDescent="0.25">
      <c r="A1325" t="s">
        <v>12</v>
      </c>
      <c r="B1325" t="s">
        <v>10</v>
      </c>
      <c r="C1325">
        <v>88.41</v>
      </c>
      <c r="D1325">
        <v>94.494389999999996</v>
      </c>
      <c r="E1325" s="1">
        <v>43313</v>
      </c>
      <c r="F1325">
        <f t="shared" si="40"/>
        <v>8</v>
      </c>
      <c r="G1325">
        <f t="shared" si="41"/>
        <v>2018</v>
      </c>
    </row>
    <row r="1326" spans="1:7" x14ac:dyDescent="0.25">
      <c r="A1326" t="s">
        <v>12</v>
      </c>
      <c r="B1326" t="s">
        <v>10</v>
      </c>
      <c r="C1326">
        <v>88</v>
      </c>
      <c r="D1326">
        <v>89.461010000000002</v>
      </c>
      <c r="E1326" s="1">
        <v>43344</v>
      </c>
      <c r="F1326">
        <f t="shared" si="40"/>
        <v>9</v>
      </c>
      <c r="G1326">
        <f t="shared" si="41"/>
        <v>2018</v>
      </c>
    </row>
    <row r="1327" spans="1:7" x14ac:dyDescent="0.25">
      <c r="A1327" t="s">
        <v>12</v>
      </c>
      <c r="B1327" t="s">
        <v>10</v>
      </c>
      <c r="C1327">
        <v>87.03</v>
      </c>
      <c r="D1327">
        <v>92.061369999999997</v>
      </c>
      <c r="E1327" s="1">
        <v>43374</v>
      </c>
      <c r="F1327">
        <f t="shared" si="40"/>
        <v>10</v>
      </c>
      <c r="G1327">
        <f t="shared" si="41"/>
        <v>2018</v>
      </c>
    </row>
    <row r="1328" spans="1:7" x14ac:dyDescent="0.25">
      <c r="A1328" t="s">
        <v>12</v>
      </c>
      <c r="B1328" t="s">
        <v>10</v>
      </c>
      <c r="C1328">
        <v>87.57</v>
      </c>
      <c r="D1328">
        <v>90.123260000000002</v>
      </c>
      <c r="E1328" s="1">
        <v>43405</v>
      </c>
      <c r="F1328">
        <f t="shared" si="40"/>
        <v>11</v>
      </c>
      <c r="G1328">
        <f t="shared" si="41"/>
        <v>2018</v>
      </c>
    </row>
    <row r="1329" spans="1:7" x14ac:dyDescent="0.25">
      <c r="A1329" t="s">
        <v>12</v>
      </c>
      <c r="B1329" t="s">
        <v>10</v>
      </c>
      <c r="C1329">
        <v>85.99</v>
      </c>
      <c r="D1329">
        <v>87.716740000000001</v>
      </c>
      <c r="E1329" s="1">
        <v>43435</v>
      </c>
      <c r="F1329">
        <f t="shared" si="40"/>
        <v>12</v>
      </c>
      <c r="G1329">
        <f t="shared" si="41"/>
        <v>2018</v>
      </c>
    </row>
    <row r="1330" spans="1:7" x14ac:dyDescent="0.25">
      <c r="A1330" t="s">
        <v>12</v>
      </c>
      <c r="B1330" t="s">
        <v>10</v>
      </c>
      <c r="C1330">
        <v>85.38</v>
      </c>
      <c r="D1330">
        <v>81.082080000000005</v>
      </c>
      <c r="E1330" s="1">
        <v>43466</v>
      </c>
      <c r="F1330">
        <f t="shared" si="40"/>
        <v>1</v>
      </c>
      <c r="G1330">
        <f t="shared" si="41"/>
        <v>2019</v>
      </c>
    </row>
    <row r="1331" spans="1:7" x14ac:dyDescent="0.25">
      <c r="A1331" t="s">
        <v>12</v>
      </c>
      <c r="B1331" t="s">
        <v>10</v>
      </c>
      <c r="C1331">
        <v>80.900000000000006</v>
      </c>
      <c r="D1331">
        <v>74.608249999999998</v>
      </c>
      <c r="E1331" s="1">
        <v>43497</v>
      </c>
      <c r="F1331">
        <f t="shared" si="40"/>
        <v>2</v>
      </c>
      <c r="G1331">
        <f t="shared" si="41"/>
        <v>2019</v>
      </c>
    </row>
    <row r="1332" spans="1:7" x14ac:dyDescent="0.25">
      <c r="A1332" t="s">
        <v>12</v>
      </c>
      <c r="B1332" t="s">
        <v>10</v>
      </c>
      <c r="C1332">
        <v>83.66</v>
      </c>
      <c r="D1332">
        <v>77.64085</v>
      </c>
      <c r="E1332" s="1">
        <v>43525</v>
      </c>
      <c r="F1332">
        <f t="shared" si="40"/>
        <v>3</v>
      </c>
      <c r="G1332">
        <f t="shared" si="41"/>
        <v>2019</v>
      </c>
    </row>
    <row r="1333" spans="1:7" x14ac:dyDescent="0.25">
      <c r="A1333" t="s">
        <v>12</v>
      </c>
      <c r="B1333" t="s">
        <v>10</v>
      </c>
      <c r="C1333">
        <v>83.23</v>
      </c>
      <c r="D1333">
        <v>79.262010000000004</v>
      </c>
      <c r="E1333" s="1">
        <v>43556</v>
      </c>
      <c r="F1333">
        <f t="shared" si="40"/>
        <v>4</v>
      </c>
      <c r="G1333">
        <f t="shared" si="41"/>
        <v>2019</v>
      </c>
    </row>
    <row r="1334" spans="1:7" x14ac:dyDescent="0.25">
      <c r="A1334" t="s">
        <v>12</v>
      </c>
      <c r="B1334" t="s">
        <v>10</v>
      </c>
      <c r="C1334">
        <v>83.64</v>
      </c>
      <c r="D1334">
        <v>86.926180000000002</v>
      </c>
      <c r="E1334" s="1">
        <v>43586</v>
      </c>
      <c r="F1334">
        <f t="shared" si="40"/>
        <v>5</v>
      </c>
      <c r="G1334">
        <f t="shared" si="41"/>
        <v>2019</v>
      </c>
    </row>
    <row r="1335" spans="1:7" x14ac:dyDescent="0.25">
      <c r="A1335" t="s">
        <v>12</v>
      </c>
      <c r="B1335" t="s">
        <v>10</v>
      </c>
      <c r="C1335">
        <v>81.45</v>
      </c>
      <c r="D1335">
        <v>79.878119999999996</v>
      </c>
      <c r="E1335" s="1">
        <v>43617</v>
      </c>
      <c r="F1335">
        <f t="shared" si="40"/>
        <v>6</v>
      </c>
      <c r="G1335">
        <f t="shared" si="41"/>
        <v>2019</v>
      </c>
    </row>
    <row r="1336" spans="1:7" x14ac:dyDescent="0.25">
      <c r="A1336" t="s">
        <v>12</v>
      </c>
      <c r="B1336" t="s">
        <v>10</v>
      </c>
      <c r="C1336">
        <v>83.56</v>
      </c>
      <c r="D1336">
        <v>86.49776</v>
      </c>
      <c r="E1336" s="1">
        <v>43647</v>
      </c>
      <c r="F1336">
        <f t="shared" si="40"/>
        <v>7</v>
      </c>
      <c r="G1336">
        <f t="shared" si="41"/>
        <v>2019</v>
      </c>
    </row>
    <row r="1337" spans="1:7" x14ac:dyDescent="0.25">
      <c r="A1337" t="s">
        <v>12</v>
      </c>
      <c r="B1337" t="s">
        <v>10</v>
      </c>
      <c r="C1337">
        <v>81.040000000000006</v>
      </c>
      <c r="D1337">
        <v>85.535560000000004</v>
      </c>
      <c r="E1337" s="1">
        <v>43678</v>
      </c>
      <c r="F1337">
        <f t="shared" si="40"/>
        <v>8</v>
      </c>
      <c r="G1337">
        <f t="shared" si="41"/>
        <v>2019</v>
      </c>
    </row>
    <row r="1338" spans="1:7" x14ac:dyDescent="0.25">
      <c r="A1338" t="s">
        <v>12</v>
      </c>
      <c r="B1338" t="s">
        <v>10</v>
      </c>
      <c r="C1338">
        <v>86.7</v>
      </c>
      <c r="D1338">
        <v>88.55874</v>
      </c>
      <c r="E1338" s="1">
        <v>43709</v>
      </c>
      <c r="F1338">
        <f t="shared" si="40"/>
        <v>9</v>
      </c>
      <c r="G1338">
        <f t="shared" si="41"/>
        <v>2019</v>
      </c>
    </row>
    <row r="1339" spans="1:7" x14ac:dyDescent="0.25">
      <c r="A1339" t="s">
        <v>12</v>
      </c>
      <c r="B1339" t="s">
        <v>10</v>
      </c>
      <c r="C1339">
        <v>87.77</v>
      </c>
      <c r="D1339">
        <v>92.331440000000001</v>
      </c>
      <c r="E1339" s="1">
        <v>43739</v>
      </c>
      <c r="F1339">
        <f t="shared" si="40"/>
        <v>10</v>
      </c>
      <c r="G1339">
        <f t="shared" si="41"/>
        <v>2019</v>
      </c>
    </row>
    <row r="1340" spans="1:7" x14ac:dyDescent="0.25">
      <c r="A1340" t="s">
        <v>12</v>
      </c>
      <c r="B1340" t="s">
        <v>10</v>
      </c>
      <c r="C1340">
        <v>85.26</v>
      </c>
      <c r="D1340">
        <v>86.958780000000004</v>
      </c>
      <c r="E1340" s="1">
        <v>43770</v>
      </c>
      <c r="F1340">
        <f t="shared" si="40"/>
        <v>11</v>
      </c>
      <c r="G1340">
        <f t="shared" si="41"/>
        <v>2019</v>
      </c>
    </row>
    <row r="1341" spans="1:7" x14ac:dyDescent="0.25">
      <c r="A1341" t="s">
        <v>12</v>
      </c>
      <c r="B1341" t="s">
        <v>10</v>
      </c>
      <c r="C1341">
        <v>85.12</v>
      </c>
      <c r="D1341">
        <v>88.014750000000006</v>
      </c>
      <c r="E1341" s="1">
        <v>43800</v>
      </c>
      <c r="F1341">
        <f t="shared" si="40"/>
        <v>12</v>
      </c>
      <c r="G1341">
        <f t="shared" si="41"/>
        <v>2019</v>
      </c>
    </row>
    <row r="1342" spans="1:7" x14ac:dyDescent="0.25">
      <c r="A1342" t="s">
        <v>12</v>
      </c>
      <c r="B1342" t="s">
        <v>10</v>
      </c>
      <c r="C1342">
        <v>85.34</v>
      </c>
      <c r="D1342">
        <v>81.365660000000005</v>
      </c>
      <c r="E1342" s="1">
        <v>43831</v>
      </c>
      <c r="F1342">
        <f t="shared" si="40"/>
        <v>1</v>
      </c>
      <c r="G1342">
        <f t="shared" si="41"/>
        <v>2020</v>
      </c>
    </row>
    <row r="1343" spans="1:7" x14ac:dyDescent="0.25">
      <c r="A1343" t="s">
        <v>12</v>
      </c>
      <c r="B1343" t="s">
        <v>10</v>
      </c>
      <c r="C1343">
        <v>84.54</v>
      </c>
      <c r="D1343">
        <v>76.150469999999999</v>
      </c>
      <c r="E1343" s="1">
        <v>43862</v>
      </c>
      <c r="F1343">
        <f t="shared" si="40"/>
        <v>2</v>
      </c>
      <c r="G1343">
        <f t="shared" si="41"/>
        <v>2020</v>
      </c>
    </row>
    <row r="1344" spans="1:7" x14ac:dyDescent="0.25">
      <c r="A1344" t="s">
        <v>12</v>
      </c>
      <c r="B1344" t="s">
        <v>10</v>
      </c>
      <c r="C1344">
        <v>79.78</v>
      </c>
      <c r="D1344">
        <v>79.056269999999998</v>
      </c>
      <c r="E1344" s="1">
        <v>43891</v>
      </c>
      <c r="F1344">
        <f t="shared" si="40"/>
        <v>3</v>
      </c>
      <c r="G1344">
        <f t="shared" si="41"/>
        <v>2020</v>
      </c>
    </row>
    <row r="1345" spans="1:7" x14ac:dyDescent="0.25">
      <c r="A1345" t="s">
        <v>12</v>
      </c>
      <c r="B1345" t="s">
        <v>10</v>
      </c>
      <c r="C1345">
        <v>63.82</v>
      </c>
      <c r="D1345">
        <v>60.855170000000001</v>
      </c>
      <c r="E1345" s="1">
        <v>43922</v>
      </c>
      <c r="F1345">
        <f t="shared" si="40"/>
        <v>4</v>
      </c>
      <c r="G1345">
        <f t="shared" si="41"/>
        <v>2020</v>
      </c>
    </row>
    <row r="1346" spans="1:7" x14ac:dyDescent="0.25">
      <c r="A1346" t="s">
        <v>12</v>
      </c>
      <c r="B1346" t="s">
        <v>10</v>
      </c>
      <c r="C1346">
        <v>64.92</v>
      </c>
      <c r="D1346">
        <v>65.825590000000005</v>
      </c>
      <c r="E1346" s="1">
        <v>43952</v>
      </c>
      <c r="F1346">
        <f t="shared" ref="F1346:F1409" si="42">MONTH(E1346)</f>
        <v>5</v>
      </c>
      <c r="G1346">
        <f t="shared" ref="G1346:G1409" si="43">YEAR(E1346)</f>
        <v>2020</v>
      </c>
    </row>
    <row r="1347" spans="1:7" x14ac:dyDescent="0.25">
      <c r="A1347" t="s">
        <v>12</v>
      </c>
      <c r="B1347" t="s">
        <v>10</v>
      </c>
      <c r="C1347">
        <v>69.95</v>
      </c>
      <c r="D1347">
        <v>70.180539999999993</v>
      </c>
      <c r="E1347" s="1">
        <v>43983</v>
      </c>
      <c r="F1347">
        <f t="shared" si="42"/>
        <v>6</v>
      </c>
      <c r="G1347">
        <f t="shared" si="43"/>
        <v>2020</v>
      </c>
    </row>
    <row r="1348" spans="1:7" x14ac:dyDescent="0.25">
      <c r="A1348" t="s">
        <v>12</v>
      </c>
      <c r="B1348" t="s">
        <v>10</v>
      </c>
      <c r="C1348">
        <v>72.23</v>
      </c>
      <c r="D1348">
        <v>74.806799999999996</v>
      </c>
      <c r="E1348" s="1">
        <v>44013</v>
      </c>
      <c r="F1348">
        <f t="shared" si="42"/>
        <v>7</v>
      </c>
      <c r="G1348">
        <f t="shared" si="43"/>
        <v>2020</v>
      </c>
    </row>
    <row r="1349" spans="1:7" x14ac:dyDescent="0.25">
      <c r="A1349" t="s">
        <v>12</v>
      </c>
      <c r="B1349" t="s">
        <v>10</v>
      </c>
      <c r="C1349">
        <v>74.260000000000005</v>
      </c>
      <c r="D1349">
        <v>77.115729999999999</v>
      </c>
      <c r="E1349" s="1">
        <v>44044</v>
      </c>
      <c r="F1349">
        <f t="shared" si="42"/>
        <v>8</v>
      </c>
      <c r="G1349">
        <f t="shared" si="43"/>
        <v>2020</v>
      </c>
    </row>
    <row r="1350" spans="1:7" x14ac:dyDescent="0.25">
      <c r="A1350" t="s">
        <v>12</v>
      </c>
      <c r="B1350" t="s">
        <v>10</v>
      </c>
      <c r="C1350">
        <v>77.33</v>
      </c>
      <c r="D1350">
        <v>80.3887</v>
      </c>
      <c r="E1350" s="1">
        <v>44075</v>
      </c>
      <c r="F1350">
        <f t="shared" si="42"/>
        <v>9</v>
      </c>
      <c r="G1350">
        <f t="shared" si="43"/>
        <v>2020</v>
      </c>
    </row>
    <row r="1351" spans="1:7" x14ac:dyDescent="0.25">
      <c r="A1351" t="s">
        <v>12</v>
      </c>
      <c r="B1351" t="s">
        <v>10</v>
      </c>
      <c r="C1351">
        <v>78.81</v>
      </c>
      <c r="D1351">
        <v>81.274839999999998</v>
      </c>
      <c r="E1351" s="1">
        <v>44105</v>
      </c>
      <c r="F1351">
        <f t="shared" si="42"/>
        <v>10</v>
      </c>
      <c r="G1351">
        <f t="shared" si="43"/>
        <v>2020</v>
      </c>
    </row>
    <row r="1352" spans="1:7" x14ac:dyDescent="0.25">
      <c r="A1352" t="s">
        <v>12</v>
      </c>
      <c r="B1352" t="s">
        <v>10</v>
      </c>
      <c r="C1352">
        <v>81.62</v>
      </c>
      <c r="D1352">
        <v>82.398679999999999</v>
      </c>
      <c r="E1352" s="1">
        <v>44136</v>
      </c>
      <c r="F1352">
        <f t="shared" si="42"/>
        <v>11</v>
      </c>
      <c r="G1352">
        <f t="shared" si="43"/>
        <v>2020</v>
      </c>
    </row>
    <row r="1353" spans="1:7" x14ac:dyDescent="0.25">
      <c r="A1353" t="s">
        <v>12</v>
      </c>
      <c r="B1353" t="s">
        <v>10</v>
      </c>
      <c r="C1353">
        <v>79.680000000000007</v>
      </c>
      <c r="D1353">
        <v>84.032070000000004</v>
      </c>
      <c r="E1353" s="1">
        <v>44166</v>
      </c>
      <c r="F1353">
        <f t="shared" si="42"/>
        <v>12</v>
      </c>
      <c r="G1353">
        <f t="shared" si="43"/>
        <v>2020</v>
      </c>
    </row>
    <row r="1354" spans="1:7" x14ac:dyDescent="0.25">
      <c r="A1354" t="s">
        <v>12</v>
      </c>
      <c r="B1354" t="s">
        <v>10</v>
      </c>
      <c r="C1354">
        <v>81.02</v>
      </c>
      <c r="D1354">
        <v>75.697159999999997</v>
      </c>
      <c r="E1354" s="1">
        <v>44197</v>
      </c>
      <c r="F1354">
        <f t="shared" si="42"/>
        <v>1</v>
      </c>
      <c r="G1354">
        <f t="shared" si="43"/>
        <v>2021</v>
      </c>
    </row>
    <row r="1355" spans="1:7" x14ac:dyDescent="0.25">
      <c r="A1355" t="s">
        <v>12</v>
      </c>
      <c r="B1355" t="s">
        <v>10</v>
      </c>
      <c r="C1355">
        <v>84.9</v>
      </c>
      <c r="D1355">
        <v>74.633390000000006</v>
      </c>
      <c r="E1355" s="1">
        <v>44228</v>
      </c>
      <c r="F1355">
        <f t="shared" si="42"/>
        <v>2</v>
      </c>
      <c r="G1355">
        <f t="shared" si="43"/>
        <v>2021</v>
      </c>
    </row>
    <row r="1356" spans="1:7" x14ac:dyDescent="0.25">
      <c r="A1356" t="s">
        <v>12</v>
      </c>
      <c r="B1356" t="s">
        <v>10</v>
      </c>
      <c r="C1356">
        <v>80.86</v>
      </c>
      <c r="D1356">
        <v>81.752219999999994</v>
      </c>
      <c r="E1356" s="1">
        <v>44256</v>
      </c>
      <c r="F1356">
        <f t="shared" si="42"/>
        <v>3</v>
      </c>
      <c r="G1356">
        <f t="shared" si="43"/>
        <v>2021</v>
      </c>
    </row>
    <row r="1357" spans="1:7" x14ac:dyDescent="0.25">
      <c r="A1357" t="s">
        <v>12</v>
      </c>
      <c r="B1357" t="s">
        <v>10</v>
      </c>
      <c r="C1357">
        <v>82.47</v>
      </c>
      <c r="D1357">
        <v>78.540809999999993</v>
      </c>
      <c r="E1357" s="1">
        <v>44287</v>
      </c>
      <c r="F1357">
        <f t="shared" si="42"/>
        <v>4</v>
      </c>
      <c r="G1357">
        <f t="shared" si="43"/>
        <v>2021</v>
      </c>
    </row>
    <row r="1358" spans="1:7" x14ac:dyDescent="0.25">
      <c r="A1358" t="s">
        <v>12</v>
      </c>
      <c r="B1358" t="s">
        <v>10</v>
      </c>
      <c r="C1358">
        <v>86.05</v>
      </c>
      <c r="D1358">
        <v>86.877949999999998</v>
      </c>
      <c r="E1358" s="1">
        <v>44317</v>
      </c>
      <c r="F1358">
        <f t="shared" si="42"/>
        <v>5</v>
      </c>
      <c r="G1358">
        <f t="shared" si="43"/>
        <v>2021</v>
      </c>
    </row>
    <row r="1359" spans="1:7" x14ac:dyDescent="0.25">
      <c r="A1359" t="s">
        <v>12</v>
      </c>
      <c r="B1359" t="s">
        <v>10</v>
      </c>
      <c r="C1359">
        <v>87.09</v>
      </c>
      <c r="D1359">
        <v>87.81362</v>
      </c>
      <c r="E1359" s="1">
        <v>44348</v>
      </c>
      <c r="F1359">
        <f t="shared" si="42"/>
        <v>6</v>
      </c>
      <c r="G1359">
        <f t="shared" si="43"/>
        <v>2021</v>
      </c>
    </row>
    <row r="1360" spans="1:7" x14ac:dyDescent="0.25">
      <c r="A1360" t="s">
        <v>12</v>
      </c>
      <c r="B1360" t="s">
        <v>10</v>
      </c>
      <c r="C1360">
        <v>85.38</v>
      </c>
      <c r="D1360">
        <v>87.461820000000003</v>
      </c>
      <c r="E1360" s="1">
        <v>44378</v>
      </c>
      <c r="F1360">
        <f t="shared" si="42"/>
        <v>7</v>
      </c>
      <c r="G1360">
        <f t="shared" si="43"/>
        <v>2021</v>
      </c>
    </row>
    <row r="1361" spans="1:7" x14ac:dyDescent="0.25">
      <c r="A1361" t="s">
        <v>12</v>
      </c>
      <c r="B1361" t="s">
        <v>10</v>
      </c>
      <c r="C1361">
        <v>87.87</v>
      </c>
      <c r="D1361">
        <v>92.107389999999995</v>
      </c>
      <c r="E1361" s="1">
        <v>44409</v>
      </c>
      <c r="F1361">
        <f t="shared" si="42"/>
        <v>8</v>
      </c>
      <c r="G1361">
        <f t="shared" si="43"/>
        <v>2021</v>
      </c>
    </row>
    <row r="1362" spans="1:7" x14ac:dyDescent="0.25">
      <c r="A1362" t="s">
        <v>12</v>
      </c>
      <c r="B1362" t="s">
        <v>10</v>
      </c>
      <c r="C1362">
        <v>85.41</v>
      </c>
      <c r="D1362">
        <v>88.386070000000004</v>
      </c>
      <c r="E1362" s="1">
        <v>44440</v>
      </c>
      <c r="F1362">
        <f t="shared" si="42"/>
        <v>9</v>
      </c>
      <c r="G1362">
        <f t="shared" si="43"/>
        <v>2021</v>
      </c>
    </row>
    <row r="1363" spans="1:7" x14ac:dyDescent="0.25">
      <c r="A1363" t="s">
        <v>12</v>
      </c>
      <c r="B1363" t="s">
        <v>10</v>
      </c>
      <c r="C1363">
        <v>87.45</v>
      </c>
      <c r="D1363">
        <v>88.611329999999995</v>
      </c>
      <c r="E1363" s="1">
        <v>44470</v>
      </c>
      <c r="F1363">
        <f t="shared" si="42"/>
        <v>10</v>
      </c>
      <c r="G1363">
        <f t="shared" si="43"/>
        <v>2021</v>
      </c>
    </row>
    <row r="1364" spans="1:7" x14ac:dyDescent="0.25">
      <c r="A1364" t="s">
        <v>12</v>
      </c>
      <c r="B1364" t="s">
        <v>10</v>
      </c>
      <c r="C1364">
        <v>89.57</v>
      </c>
      <c r="D1364">
        <v>91.522679999999994</v>
      </c>
      <c r="E1364" s="1">
        <v>44501</v>
      </c>
      <c r="F1364">
        <f t="shared" si="42"/>
        <v>11</v>
      </c>
      <c r="G1364">
        <f t="shared" si="43"/>
        <v>2021</v>
      </c>
    </row>
    <row r="1365" spans="1:7" x14ac:dyDescent="0.25">
      <c r="A1365" t="s">
        <v>12</v>
      </c>
      <c r="B1365" t="s">
        <v>10</v>
      </c>
      <c r="C1365">
        <v>93.42</v>
      </c>
      <c r="D1365">
        <v>98.357730000000004</v>
      </c>
      <c r="E1365" s="1">
        <v>44531</v>
      </c>
      <c r="F1365">
        <f t="shared" si="42"/>
        <v>12</v>
      </c>
      <c r="G1365">
        <f t="shared" si="43"/>
        <v>2021</v>
      </c>
    </row>
    <row r="1366" spans="1:7" x14ac:dyDescent="0.25">
      <c r="A1366" t="s">
        <v>12</v>
      </c>
      <c r="B1366" t="s">
        <v>10</v>
      </c>
      <c r="C1366">
        <v>96.64</v>
      </c>
      <c r="D1366">
        <v>90.383359999999996</v>
      </c>
      <c r="E1366" s="1">
        <v>44562</v>
      </c>
      <c r="F1366">
        <f t="shared" si="42"/>
        <v>1</v>
      </c>
      <c r="G1366">
        <f t="shared" si="43"/>
        <v>2022</v>
      </c>
    </row>
    <row r="1367" spans="1:7" x14ac:dyDescent="0.25">
      <c r="A1367" t="s">
        <v>12</v>
      </c>
      <c r="B1367" t="s">
        <v>10</v>
      </c>
      <c r="C1367">
        <v>98.12</v>
      </c>
      <c r="D1367">
        <v>86.553910000000002</v>
      </c>
      <c r="E1367" s="1">
        <v>44593</v>
      </c>
      <c r="F1367">
        <f t="shared" si="42"/>
        <v>2</v>
      </c>
      <c r="G1367">
        <f t="shared" si="43"/>
        <v>2022</v>
      </c>
    </row>
    <row r="1368" spans="1:7" x14ac:dyDescent="0.25">
      <c r="A1368" t="s">
        <v>12</v>
      </c>
      <c r="B1368" t="s">
        <v>10</v>
      </c>
      <c r="C1368">
        <v>98.77</v>
      </c>
      <c r="D1368">
        <v>100.23121</v>
      </c>
      <c r="E1368" s="1">
        <v>44621</v>
      </c>
      <c r="F1368">
        <f t="shared" si="42"/>
        <v>3</v>
      </c>
      <c r="G1368">
        <f t="shared" si="43"/>
        <v>2022</v>
      </c>
    </row>
    <row r="1369" spans="1:7" x14ac:dyDescent="0.25">
      <c r="A1369" t="s">
        <v>12</v>
      </c>
      <c r="B1369" t="s">
        <v>10</v>
      </c>
      <c r="C1369">
        <v>97.59</v>
      </c>
      <c r="D1369">
        <v>92.408360000000002</v>
      </c>
      <c r="E1369" s="1">
        <v>44652</v>
      </c>
      <c r="F1369">
        <f t="shared" si="42"/>
        <v>4</v>
      </c>
      <c r="G1369">
        <f t="shared" si="43"/>
        <v>2022</v>
      </c>
    </row>
    <row r="1370" spans="1:7" x14ac:dyDescent="0.25">
      <c r="A1370" t="s">
        <v>12</v>
      </c>
      <c r="B1370" t="s">
        <v>10</v>
      </c>
      <c r="C1370">
        <v>96.96</v>
      </c>
      <c r="D1370">
        <v>98.835700000000003</v>
      </c>
      <c r="E1370" s="1">
        <v>44682</v>
      </c>
      <c r="F1370">
        <f t="shared" si="42"/>
        <v>5</v>
      </c>
      <c r="G1370">
        <f t="shared" si="43"/>
        <v>2022</v>
      </c>
    </row>
    <row r="1371" spans="1:7" x14ac:dyDescent="0.25">
      <c r="A1371" t="s">
        <v>12</v>
      </c>
      <c r="B1371" t="s">
        <v>10</v>
      </c>
      <c r="C1371">
        <v>97.74</v>
      </c>
      <c r="D1371">
        <v>98.584410000000005</v>
      </c>
      <c r="E1371" s="1">
        <v>44713</v>
      </c>
      <c r="F1371">
        <f t="shared" si="42"/>
        <v>6</v>
      </c>
      <c r="G1371">
        <f t="shared" si="43"/>
        <v>2022</v>
      </c>
    </row>
    <row r="1372" spans="1:7" x14ac:dyDescent="0.25">
      <c r="A1372" t="s">
        <v>12</v>
      </c>
      <c r="B1372" t="s">
        <v>10</v>
      </c>
      <c r="C1372">
        <v>102.18</v>
      </c>
      <c r="D1372">
        <v>103.47065000000001</v>
      </c>
      <c r="E1372" s="1">
        <v>44743</v>
      </c>
      <c r="F1372">
        <f t="shared" si="42"/>
        <v>7</v>
      </c>
      <c r="G1372">
        <f t="shared" si="43"/>
        <v>2022</v>
      </c>
    </row>
    <row r="1373" spans="1:7" x14ac:dyDescent="0.25">
      <c r="A1373" t="s">
        <v>12</v>
      </c>
      <c r="B1373" t="s">
        <v>10</v>
      </c>
      <c r="C1373">
        <v>103.3</v>
      </c>
      <c r="D1373">
        <v>109.82080999999999</v>
      </c>
      <c r="E1373" s="1">
        <v>44774</v>
      </c>
      <c r="F1373">
        <f t="shared" si="42"/>
        <v>8</v>
      </c>
      <c r="G1373">
        <f t="shared" si="43"/>
        <v>2022</v>
      </c>
    </row>
    <row r="1374" spans="1:7" x14ac:dyDescent="0.25">
      <c r="A1374" t="s">
        <v>12</v>
      </c>
      <c r="B1374" t="s">
        <v>10</v>
      </c>
      <c r="C1374">
        <v>103.02</v>
      </c>
      <c r="D1374">
        <v>105.99217</v>
      </c>
      <c r="E1374" s="1">
        <v>44805</v>
      </c>
      <c r="F1374">
        <f t="shared" si="42"/>
        <v>9</v>
      </c>
      <c r="G1374">
        <f t="shared" si="43"/>
        <v>2022</v>
      </c>
    </row>
    <row r="1375" spans="1:7" x14ac:dyDescent="0.25">
      <c r="A1375" t="s">
        <v>12</v>
      </c>
      <c r="B1375" t="s">
        <v>10</v>
      </c>
      <c r="C1375">
        <v>102.47</v>
      </c>
      <c r="D1375">
        <v>103.36602999999999</v>
      </c>
      <c r="E1375" s="1">
        <v>44835</v>
      </c>
      <c r="F1375">
        <f t="shared" si="42"/>
        <v>10</v>
      </c>
      <c r="G1375">
        <f t="shared" si="43"/>
        <v>2022</v>
      </c>
    </row>
    <row r="1376" spans="1:7" x14ac:dyDescent="0.25">
      <c r="A1376" t="s">
        <v>12</v>
      </c>
      <c r="B1376" t="s">
        <v>10</v>
      </c>
      <c r="C1376">
        <v>101.15</v>
      </c>
      <c r="D1376">
        <v>103.4284</v>
      </c>
      <c r="E1376" s="1">
        <v>44866</v>
      </c>
      <c r="F1376">
        <f t="shared" si="42"/>
        <v>11</v>
      </c>
      <c r="G1376">
        <f t="shared" si="43"/>
        <v>2022</v>
      </c>
    </row>
    <row r="1377" spans="1:7" x14ac:dyDescent="0.25">
      <c r="A1377" t="s">
        <v>12</v>
      </c>
      <c r="B1377" t="s">
        <v>10</v>
      </c>
      <c r="C1377">
        <v>102.77</v>
      </c>
      <c r="D1377">
        <v>106.92498999999999</v>
      </c>
      <c r="E1377" s="1">
        <v>44896</v>
      </c>
      <c r="F1377">
        <f t="shared" si="42"/>
        <v>12</v>
      </c>
      <c r="G1377">
        <f t="shared" si="43"/>
        <v>2022</v>
      </c>
    </row>
    <row r="1378" spans="1:7" x14ac:dyDescent="0.25">
      <c r="A1378" t="s">
        <v>12</v>
      </c>
      <c r="B1378" t="s">
        <v>10</v>
      </c>
      <c r="C1378">
        <v>94.28</v>
      </c>
      <c r="D1378">
        <v>89.313100000000006</v>
      </c>
      <c r="E1378" s="1">
        <v>44927</v>
      </c>
      <c r="F1378">
        <f t="shared" si="42"/>
        <v>1</v>
      </c>
      <c r="G1378">
        <f t="shared" si="43"/>
        <v>2023</v>
      </c>
    </row>
    <row r="1379" spans="1:7" x14ac:dyDescent="0.25">
      <c r="A1379" t="s">
        <v>12</v>
      </c>
      <c r="B1379" t="s">
        <v>10</v>
      </c>
      <c r="C1379">
        <v>99.21</v>
      </c>
      <c r="D1379">
        <v>87.622720000000001</v>
      </c>
      <c r="E1379" s="1">
        <v>44958</v>
      </c>
      <c r="F1379">
        <f t="shared" si="42"/>
        <v>2</v>
      </c>
      <c r="G1379">
        <f t="shared" si="43"/>
        <v>2023</v>
      </c>
    </row>
    <row r="1380" spans="1:7" x14ac:dyDescent="0.25">
      <c r="A1380" t="s">
        <v>12</v>
      </c>
      <c r="B1380" t="s">
        <v>10</v>
      </c>
      <c r="C1380">
        <v>102.17</v>
      </c>
      <c r="D1380">
        <v>103.76802000000001</v>
      </c>
      <c r="E1380" s="1">
        <v>44986</v>
      </c>
      <c r="F1380">
        <f t="shared" si="42"/>
        <v>3</v>
      </c>
      <c r="G1380">
        <f t="shared" si="43"/>
        <v>2023</v>
      </c>
    </row>
    <row r="1381" spans="1:7" x14ac:dyDescent="0.25">
      <c r="A1381" t="s">
        <v>12</v>
      </c>
      <c r="B1381" t="s">
        <v>10</v>
      </c>
      <c r="C1381">
        <v>97.23</v>
      </c>
      <c r="D1381">
        <v>91.145049999999998</v>
      </c>
      <c r="E1381" s="1">
        <v>45017</v>
      </c>
      <c r="F1381">
        <f t="shared" si="42"/>
        <v>4</v>
      </c>
      <c r="G1381">
        <f t="shared" si="43"/>
        <v>2023</v>
      </c>
    </row>
    <row r="1382" spans="1:7" x14ac:dyDescent="0.25">
      <c r="A1382" t="s">
        <v>12</v>
      </c>
      <c r="B1382" t="s">
        <v>10</v>
      </c>
      <c r="C1382">
        <v>96.69</v>
      </c>
      <c r="D1382">
        <v>99.884060000000005</v>
      </c>
      <c r="E1382" s="1">
        <v>45047</v>
      </c>
      <c r="F1382">
        <f t="shared" si="42"/>
        <v>5</v>
      </c>
      <c r="G1382">
        <f t="shared" si="43"/>
        <v>2023</v>
      </c>
    </row>
    <row r="1383" spans="1:7" x14ac:dyDescent="0.25">
      <c r="A1383" t="s">
        <v>12</v>
      </c>
      <c r="B1383" t="s">
        <v>10</v>
      </c>
      <c r="C1383">
        <v>92.96</v>
      </c>
      <c r="D1383">
        <v>93.730410000000006</v>
      </c>
      <c r="E1383" s="1">
        <v>45078</v>
      </c>
      <c r="F1383">
        <f t="shared" si="42"/>
        <v>6</v>
      </c>
      <c r="G1383">
        <f t="shared" si="43"/>
        <v>2023</v>
      </c>
    </row>
    <row r="1384" spans="1:7" x14ac:dyDescent="0.25">
      <c r="A1384" t="s">
        <v>12</v>
      </c>
      <c r="B1384" t="s">
        <v>10</v>
      </c>
      <c r="C1384">
        <v>92.78</v>
      </c>
      <c r="D1384">
        <v>93.904030000000006</v>
      </c>
      <c r="E1384" s="1">
        <v>45108</v>
      </c>
      <c r="F1384">
        <f t="shared" si="42"/>
        <v>7</v>
      </c>
      <c r="G1384">
        <f t="shared" si="43"/>
        <v>2023</v>
      </c>
    </row>
    <row r="1385" spans="1:7" x14ac:dyDescent="0.25">
      <c r="A1385" t="s">
        <v>12</v>
      </c>
      <c r="B1385" t="s">
        <v>10</v>
      </c>
      <c r="C1385">
        <v>89.28</v>
      </c>
      <c r="D1385">
        <v>94.891260000000003</v>
      </c>
      <c r="E1385" s="1">
        <v>45139</v>
      </c>
      <c r="F1385">
        <f t="shared" si="42"/>
        <v>8</v>
      </c>
      <c r="G1385">
        <f t="shared" si="43"/>
        <v>2023</v>
      </c>
    </row>
    <row r="1386" spans="1:7" x14ac:dyDescent="0.25">
      <c r="A1386" t="s">
        <v>12</v>
      </c>
      <c r="B1386" t="s">
        <v>10</v>
      </c>
      <c r="C1386">
        <v>89.96</v>
      </c>
      <c r="D1386">
        <v>91.615480000000005</v>
      </c>
      <c r="E1386" s="1">
        <v>45170</v>
      </c>
      <c r="F1386">
        <f t="shared" si="42"/>
        <v>9</v>
      </c>
      <c r="G1386">
        <f t="shared" si="43"/>
        <v>2023</v>
      </c>
    </row>
    <row r="1387" spans="1:7" x14ac:dyDescent="0.25">
      <c r="A1387" t="s">
        <v>12</v>
      </c>
      <c r="B1387" t="s">
        <v>10</v>
      </c>
      <c r="C1387">
        <v>88.54</v>
      </c>
      <c r="D1387">
        <v>90.367919999999998</v>
      </c>
      <c r="E1387" s="1">
        <v>45200</v>
      </c>
      <c r="F1387">
        <f t="shared" si="42"/>
        <v>10</v>
      </c>
      <c r="G1387">
        <f t="shared" si="43"/>
        <v>2023</v>
      </c>
    </row>
    <row r="1388" spans="1:7" x14ac:dyDescent="0.25">
      <c r="A1388" t="s">
        <v>12</v>
      </c>
      <c r="B1388" t="s">
        <v>10</v>
      </c>
      <c r="C1388">
        <v>88.34</v>
      </c>
      <c r="D1388">
        <v>89.92259</v>
      </c>
      <c r="E1388" s="1">
        <v>45231</v>
      </c>
      <c r="F1388">
        <f t="shared" si="42"/>
        <v>11</v>
      </c>
      <c r="G1388">
        <f t="shared" si="43"/>
        <v>2023</v>
      </c>
    </row>
    <row r="1389" spans="1:7" x14ac:dyDescent="0.25">
      <c r="A1389" t="s">
        <v>12</v>
      </c>
      <c r="B1389" t="s">
        <v>10</v>
      </c>
      <c r="C1389">
        <v>88.54</v>
      </c>
      <c r="D1389">
        <v>90.863150000000005</v>
      </c>
      <c r="E1389" s="1">
        <v>45261</v>
      </c>
      <c r="F1389">
        <f t="shared" si="42"/>
        <v>12</v>
      </c>
      <c r="G1389">
        <f t="shared" si="43"/>
        <v>2023</v>
      </c>
    </row>
    <row r="1390" spans="1:7" x14ac:dyDescent="0.25">
      <c r="A1390" t="s">
        <v>12</v>
      </c>
      <c r="B1390" t="s">
        <v>10</v>
      </c>
      <c r="C1390">
        <v>93.1</v>
      </c>
      <c r="D1390">
        <v>89.563900000000004</v>
      </c>
      <c r="E1390" s="1">
        <v>45292</v>
      </c>
      <c r="F1390">
        <f t="shared" si="42"/>
        <v>1</v>
      </c>
      <c r="G1390">
        <f t="shared" si="43"/>
        <v>2024</v>
      </c>
    </row>
    <row r="1391" spans="1:7" x14ac:dyDescent="0.25">
      <c r="A1391" t="s">
        <v>12</v>
      </c>
      <c r="B1391" t="s">
        <v>10</v>
      </c>
      <c r="C1391">
        <v>90.26</v>
      </c>
      <c r="D1391">
        <v>82.650580000000005</v>
      </c>
      <c r="E1391" s="1">
        <v>45323</v>
      </c>
      <c r="F1391">
        <f t="shared" si="42"/>
        <v>2</v>
      </c>
      <c r="G1391">
        <f t="shared" si="43"/>
        <v>2024</v>
      </c>
    </row>
    <row r="1392" spans="1:7" x14ac:dyDescent="0.25">
      <c r="A1392" t="s">
        <v>12</v>
      </c>
      <c r="B1392" t="s">
        <v>10</v>
      </c>
      <c r="C1392">
        <v>90.74</v>
      </c>
      <c r="D1392">
        <v>87.936430000000001</v>
      </c>
      <c r="E1392" s="1">
        <v>45352</v>
      </c>
      <c r="F1392">
        <f t="shared" si="42"/>
        <v>3</v>
      </c>
      <c r="G1392">
        <f t="shared" si="43"/>
        <v>2024</v>
      </c>
    </row>
    <row r="1393" spans="1:7" x14ac:dyDescent="0.25">
      <c r="A1393" t="s">
        <v>12</v>
      </c>
      <c r="B1393" t="s">
        <v>10</v>
      </c>
      <c r="C1393">
        <v>91.74</v>
      </c>
      <c r="D1393">
        <v>90.265339999999995</v>
      </c>
      <c r="E1393" s="1">
        <v>45383</v>
      </c>
      <c r="F1393">
        <f t="shared" si="42"/>
        <v>4</v>
      </c>
      <c r="G1393">
        <f t="shared" si="43"/>
        <v>2024</v>
      </c>
    </row>
    <row r="1394" spans="1:7" x14ac:dyDescent="0.25">
      <c r="A1394" t="s">
        <v>12</v>
      </c>
      <c r="B1394" t="s">
        <v>10</v>
      </c>
      <c r="C1394">
        <v>87.6</v>
      </c>
      <c r="D1394">
        <v>89.553629999999998</v>
      </c>
      <c r="E1394" s="1">
        <v>45413</v>
      </c>
      <c r="F1394">
        <f t="shared" si="42"/>
        <v>5</v>
      </c>
      <c r="G1394">
        <f t="shared" si="43"/>
        <v>2024</v>
      </c>
    </row>
    <row r="1395" spans="1:7" x14ac:dyDescent="0.25">
      <c r="A1395" t="s">
        <v>12</v>
      </c>
      <c r="B1395" t="s">
        <v>10</v>
      </c>
      <c r="C1395">
        <v>91.57</v>
      </c>
      <c r="D1395">
        <v>91.314279999999997</v>
      </c>
      <c r="E1395" s="1">
        <v>45444</v>
      </c>
      <c r="F1395">
        <f t="shared" si="42"/>
        <v>6</v>
      </c>
      <c r="G1395">
        <f t="shared" si="43"/>
        <v>2024</v>
      </c>
    </row>
    <row r="1396" spans="1:7" x14ac:dyDescent="0.25">
      <c r="A1396" t="s">
        <v>12</v>
      </c>
      <c r="B1396" t="s">
        <v>10</v>
      </c>
      <c r="C1396">
        <v>89.56</v>
      </c>
      <c r="D1396">
        <v>93.357280000000003</v>
      </c>
      <c r="E1396" s="1">
        <v>45474</v>
      </c>
      <c r="F1396">
        <f t="shared" si="42"/>
        <v>7</v>
      </c>
      <c r="G1396">
        <f t="shared" si="43"/>
        <v>2024</v>
      </c>
    </row>
    <row r="1397" spans="1:7" x14ac:dyDescent="0.25">
      <c r="A1397" t="s">
        <v>12</v>
      </c>
      <c r="B1397" t="s">
        <v>10</v>
      </c>
      <c r="C1397">
        <v>90.8</v>
      </c>
      <c r="D1397">
        <v>94.911680000000004</v>
      </c>
      <c r="E1397" s="1">
        <v>45505</v>
      </c>
      <c r="F1397">
        <f t="shared" si="42"/>
        <v>8</v>
      </c>
      <c r="G1397">
        <f t="shared" si="43"/>
        <v>2024</v>
      </c>
    </row>
    <row r="1398" spans="1:7" x14ac:dyDescent="0.25">
      <c r="A1398" t="s">
        <v>12</v>
      </c>
      <c r="B1398" t="s">
        <v>10</v>
      </c>
      <c r="C1398">
        <v>91.02</v>
      </c>
      <c r="D1398">
        <v>92.098029999999994</v>
      </c>
      <c r="E1398" s="1">
        <v>45536</v>
      </c>
      <c r="F1398">
        <f t="shared" si="42"/>
        <v>9</v>
      </c>
      <c r="G1398">
        <f t="shared" si="43"/>
        <v>2024</v>
      </c>
    </row>
    <row r="1399" spans="1:7" x14ac:dyDescent="0.25">
      <c r="A1399" t="s">
        <v>12</v>
      </c>
      <c r="B1399" t="s">
        <v>10</v>
      </c>
      <c r="C1399">
        <v>95.68</v>
      </c>
      <c r="D1399">
        <v>99.624859999999998</v>
      </c>
      <c r="E1399" s="1">
        <v>45566</v>
      </c>
      <c r="F1399">
        <f t="shared" si="42"/>
        <v>10</v>
      </c>
      <c r="G1399">
        <f t="shared" si="43"/>
        <v>2024</v>
      </c>
    </row>
    <row r="1400" spans="1:7" x14ac:dyDescent="0.25">
      <c r="A1400" t="s">
        <v>12</v>
      </c>
      <c r="B1400" t="s">
        <v>10</v>
      </c>
      <c r="C1400">
        <v>91.99</v>
      </c>
      <c r="D1400">
        <v>92.470330000000004</v>
      </c>
      <c r="E1400" s="1">
        <v>45597</v>
      </c>
      <c r="F1400">
        <f t="shared" si="42"/>
        <v>11</v>
      </c>
      <c r="G1400">
        <f t="shared" si="43"/>
        <v>2024</v>
      </c>
    </row>
    <row r="1401" spans="1:7" x14ac:dyDescent="0.25">
      <c r="A1401" t="s">
        <v>12</v>
      </c>
      <c r="B1401" t="s">
        <v>10</v>
      </c>
      <c r="C1401">
        <v>90.77</v>
      </c>
      <c r="D1401">
        <v>93.889279999999999</v>
      </c>
      <c r="E1401" s="1">
        <v>45627</v>
      </c>
      <c r="F1401">
        <f t="shared" si="42"/>
        <v>12</v>
      </c>
      <c r="G1401">
        <f t="shared" si="43"/>
        <v>2024</v>
      </c>
    </row>
    <row r="1402" spans="1:7" x14ac:dyDescent="0.25">
      <c r="A1402" t="s">
        <v>12</v>
      </c>
      <c r="B1402" t="s">
        <v>10</v>
      </c>
      <c r="C1402">
        <v>91.36</v>
      </c>
      <c r="D1402">
        <v>87.695359999999994</v>
      </c>
      <c r="E1402" s="1">
        <v>45658</v>
      </c>
      <c r="F1402">
        <f t="shared" si="42"/>
        <v>1</v>
      </c>
      <c r="G1402">
        <f t="shared" si="43"/>
        <v>2025</v>
      </c>
    </row>
    <row r="1403" spans="1:7" x14ac:dyDescent="0.25">
      <c r="A1403" t="s">
        <v>12</v>
      </c>
      <c r="B1403" t="s">
        <v>10</v>
      </c>
      <c r="C1403">
        <v>89.94</v>
      </c>
      <c r="D1403">
        <v>82.51558</v>
      </c>
      <c r="E1403" s="1">
        <v>45689</v>
      </c>
      <c r="F1403">
        <f t="shared" si="42"/>
        <v>2</v>
      </c>
      <c r="G1403">
        <f t="shared" si="43"/>
        <v>2025</v>
      </c>
    </row>
    <row r="1404" spans="1:7" x14ac:dyDescent="0.25">
      <c r="A1404" t="s">
        <v>12</v>
      </c>
      <c r="B1404" t="s">
        <v>10</v>
      </c>
      <c r="C1404">
        <v>90.05</v>
      </c>
      <c r="D1404">
        <v>85.498159999999999</v>
      </c>
      <c r="E1404" s="1">
        <v>45717</v>
      </c>
      <c r="F1404">
        <f t="shared" si="42"/>
        <v>3</v>
      </c>
      <c r="G1404">
        <f t="shared" si="43"/>
        <v>2025</v>
      </c>
    </row>
    <row r="1405" spans="1:7" x14ac:dyDescent="0.25">
      <c r="A1405" t="s">
        <v>12</v>
      </c>
      <c r="B1405" t="s">
        <v>10</v>
      </c>
      <c r="C1405">
        <v>91.22</v>
      </c>
      <c r="D1405">
        <v>88.462469999999996</v>
      </c>
      <c r="E1405" s="1">
        <v>45748</v>
      </c>
      <c r="F1405">
        <f t="shared" si="42"/>
        <v>4</v>
      </c>
      <c r="G1405">
        <f t="shared" si="43"/>
        <v>2025</v>
      </c>
    </row>
    <row r="1406" spans="1:7" x14ac:dyDescent="0.25">
      <c r="A1406" t="s">
        <v>12</v>
      </c>
      <c r="B1406" t="s">
        <v>10</v>
      </c>
      <c r="C1406">
        <v>92.09</v>
      </c>
      <c r="D1406">
        <v>93.801959999999994</v>
      </c>
      <c r="E1406" s="1">
        <v>45778</v>
      </c>
      <c r="F1406">
        <f t="shared" si="42"/>
        <v>5</v>
      </c>
      <c r="G1406">
        <f t="shared" si="43"/>
        <v>2025</v>
      </c>
    </row>
    <row r="1407" spans="1:7" x14ac:dyDescent="0.25">
      <c r="A1407" t="s">
        <v>12</v>
      </c>
      <c r="B1407" t="s">
        <v>10</v>
      </c>
      <c r="C1407">
        <v>93.92</v>
      </c>
      <c r="D1407">
        <v>93.63091</v>
      </c>
      <c r="E1407" s="1">
        <v>45809</v>
      </c>
      <c r="F1407">
        <f t="shared" si="42"/>
        <v>6</v>
      </c>
      <c r="G1407">
        <f t="shared" si="43"/>
        <v>2025</v>
      </c>
    </row>
    <row r="1408" spans="1:7" x14ac:dyDescent="0.25">
      <c r="A1408" t="s">
        <v>12</v>
      </c>
      <c r="B1408" t="s">
        <v>10</v>
      </c>
      <c r="C1408">
        <v>94.26</v>
      </c>
      <c r="D1408">
        <v>98.420429999999996</v>
      </c>
      <c r="E1408" s="1">
        <v>45839</v>
      </c>
      <c r="F1408">
        <f t="shared" si="42"/>
        <v>7</v>
      </c>
      <c r="G1408">
        <f t="shared" si="43"/>
        <v>2025</v>
      </c>
    </row>
    <row r="1409" spans="1:7" x14ac:dyDescent="0.25">
      <c r="A1409" t="s">
        <v>12</v>
      </c>
      <c r="B1409" t="s">
        <v>10</v>
      </c>
      <c r="C1409">
        <v>93.56</v>
      </c>
      <c r="D1409">
        <v>96.330960000000005</v>
      </c>
      <c r="E1409" s="1">
        <v>45870</v>
      </c>
      <c r="F1409">
        <f t="shared" si="42"/>
        <v>8</v>
      </c>
      <c r="G1409">
        <f t="shared" si="43"/>
        <v>2025</v>
      </c>
    </row>
    <row r="1410" spans="1:7" x14ac:dyDescent="0.25">
      <c r="A1410" t="s">
        <v>12</v>
      </c>
      <c r="B1410" t="s">
        <v>9</v>
      </c>
      <c r="C1410">
        <v>103.1</v>
      </c>
      <c r="D1410">
        <v>100.2371</v>
      </c>
      <c r="E1410" s="1">
        <v>40544</v>
      </c>
      <c r="F1410">
        <f t="shared" ref="F1410:F1473" si="44">MONTH(E1410)</f>
        <v>1</v>
      </c>
      <c r="G1410">
        <f t="shared" ref="G1410:G1473" si="45">YEAR(E1410)</f>
        <v>2011</v>
      </c>
    </row>
    <row r="1411" spans="1:7" x14ac:dyDescent="0.25">
      <c r="A1411" t="s">
        <v>12</v>
      </c>
      <c r="B1411" t="s">
        <v>9</v>
      </c>
      <c r="C1411">
        <v>105.54</v>
      </c>
      <c r="D1411">
        <v>100.18253</v>
      </c>
      <c r="E1411" s="1">
        <v>40575</v>
      </c>
      <c r="F1411">
        <f t="shared" si="44"/>
        <v>2</v>
      </c>
      <c r="G1411">
        <f t="shared" si="45"/>
        <v>2011</v>
      </c>
    </row>
    <row r="1412" spans="1:7" x14ac:dyDescent="0.25">
      <c r="A1412" t="s">
        <v>12</v>
      </c>
      <c r="B1412" t="s">
        <v>9</v>
      </c>
      <c r="C1412">
        <v>105.81</v>
      </c>
      <c r="D1412">
        <v>102.07671000000001</v>
      </c>
      <c r="E1412" s="1">
        <v>40603</v>
      </c>
      <c r="F1412">
        <f t="shared" si="44"/>
        <v>3</v>
      </c>
      <c r="G1412">
        <f t="shared" si="45"/>
        <v>2011</v>
      </c>
    </row>
    <row r="1413" spans="1:7" x14ac:dyDescent="0.25">
      <c r="A1413" t="s">
        <v>12</v>
      </c>
      <c r="B1413" t="s">
        <v>9</v>
      </c>
      <c r="C1413">
        <v>106.85</v>
      </c>
      <c r="D1413">
        <v>105.1336</v>
      </c>
      <c r="E1413" s="1">
        <v>40634</v>
      </c>
      <c r="F1413">
        <f t="shared" si="44"/>
        <v>4</v>
      </c>
      <c r="G1413">
        <f t="shared" si="45"/>
        <v>2011</v>
      </c>
    </row>
    <row r="1414" spans="1:7" x14ac:dyDescent="0.25">
      <c r="A1414" t="s">
        <v>12</v>
      </c>
      <c r="B1414" t="s">
        <v>9</v>
      </c>
      <c r="C1414">
        <v>108.09</v>
      </c>
      <c r="D1414">
        <v>107.51837999999999</v>
      </c>
      <c r="E1414" s="1">
        <v>40664</v>
      </c>
      <c r="F1414">
        <f t="shared" si="44"/>
        <v>5</v>
      </c>
      <c r="G1414">
        <f t="shared" si="45"/>
        <v>2011</v>
      </c>
    </row>
    <row r="1415" spans="1:7" x14ac:dyDescent="0.25">
      <c r="A1415" t="s">
        <v>12</v>
      </c>
      <c r="B1415" t="s">
        <v>9</v>
      </c>
      <c r="C1415">
        <v>107.22</v>
      </c>
      <c r="D1415">
        <v>104.59078</v>
      </c>
      <c r="E1415" s="1">
        <v>40695</v>
      </c>
      <c r="F1415">
        <f t="shared" si="44"/>
        <v>6</v>
      </c>
      <c r="G1415">
        <f t="shared" si="45"/>
        <v>2011</v>
      </c>
    </row>
    <row r="1416" spans="1:7" x14ac:dyDescent="0.25">
      <c r="A1416" t="s">
        <v>12</v>
      </c>
      <c r="B1416" t="s">
        <v>9</v>
      </c>
      <c r="C1416">
        <v>106.23</v>
      </c>
      <c r="D1416">
        <v>105.97848</v>
      </c>
      <c r="E1416" s="1">
        <v>40725</v>
      </c>
      <c r="F1416">
        <f t="shared" si="44"/>
        <v>7</v>
      </c>
      <c r="G1416">
        <f t="shared" si="45"/>
        <v>2011</v>
      </c>
    </row>
    <row r="1417" spans="1:7" x14ac:dyDescent="0.25">
      <c r="A1417" t="s">
        <v>12</v>
      </c>
      <c r="B1417" t="s">
        <v>9</v>
      </c>
      <c r="C1417">
        <v>111.51</v>
      </c>
      <c r="D1417">
        <v>109.96011</v>
      </c>
      <c r="E1417" s="1">
        <v>40756</v>
      </c>
      <c r="F1417">
        <f t="shared" si="44"/>
        <v>8</v>
      </c>
      <c r="G1417">
        <f t="shared" si="45"/>
        <v>2011</v>
      </c>
    </row>
    <row r="1418" spans="1:7" x14ac:dyDescent="0.25">
      <c r="A1418" t="s">
        <v>12</v>
      </c>
      <c r="B1418" t="s">
        <v>9</v>
      </c>
      <c r="C1418">
        <v>107.97</v>
      </c>
      <c r="D1418">
        <v>106.31347</v>
      </c>
      <c r="E1418" s="1">
        <v>40787</v>
      </c>
      <c r="F1418">
        <f t="shared" si="44"/>
        <v>9</v>
      </c>
      <c r="G1418">
        <f t="shared" si="45"/>
        <v>2011</v>
      </c>
    </row>
    <row r="1419" spans="1:7" x14ac:dyDescent="0.25">
      <c r="A1419" t="s">
        <v>12</v>
      </c>
      <c r="B1419" t="s">
        <v>9</v>
      </c>
      <c r="C1419">
        <v>105.25</v>
      </c>
      <c r="D1419">
        <v>106.76595</v>
      </c>
      <c r="E1419" s="1">
        <v>40817</v>
      </c>
      <c r="F1419">
        <f t="shared" si="44"/>
        <v>10</v>
      </c>
      <c r="G1419">
        <f t="shared" si="45"/>
        <v>2011</v>
      </c>
    </row>
    <row r="1420" spans="1:7" x14ac:dyDescent="0.25">
      <c r="A1420" t="s">
        <v>12</v>
      </c>
      <c r="B1420" t="s">
        <v>9</v>
      </c>
      <c r="C1420">
        <v>110.22</v>
      </c>
      <c r="D1420">
        <v>114.32514</v>
      </c>
      <c r="E1420" s="1">
        <v>40848</v>
      </c>
      <c r="F1420">
        <f t="shared" si="44"/>
        <v>11</v>
      </c>
      <c r="G1420">
        <f t="shared" si="45"/>
        <v>2011</v>
      </c>
    </row>
    <row r="1421" spans="1:7" x14ac:dyDescent="0.25">
      <c r="A1421" t="s">
        <v>12</v>
      </c>
      <c r="B1421" t="s">
        <v>9</v>
      </c>
      <c r="C1421">
        <v>107.88</v>
      </c>
      <c r="D1421">
        <v>122.52719</v>
      </c>
      <c r="E1421" s="1">
        <v>40878</v>
      </c>
      <c r="F1421">
        <f t="shared" si="44"/>
        <v>12</v>
      </c>
      <c r="G1421">
        <f t="shared" si="45"/>
        <v>2011</v>
      </c>
    </row>
    <row r="1422" spans="1:7" x14ac:dyDescent="0.25">
      <c r="A1422" t="s">
        <v>12</v>
      </c>
      <c r="B1422" t="s">
        <v>9</v>
      </c>
      <c r="C1422">
        <v>110.09</v>
      </c>
      <c r="D1422">
        <v>107.40846999999999</v>
      </c>
      <c r="E1422" s="1">
        <v>40909</v>
      </c>
      <c r="F1422">
        <f t="shared" si="44"/>
        <v>1</v>
      </c>
      <c r="G1422">
        <f t="shared" si="45"/>
        <v>2012</v>
      </c>
    </row>
    <row r="1423" spans="1:7" x14ac:dyDescent="0.25">
      <c r="A1423" t="s">
        <v>12</v>
      </c>
      <c r="B1423" t="s">
        <v>9</v>
      </c>
      <c r="C1423">
        <v>111.53</v>
      </c>
      <c r="D1423">
        <v>103.31067</v>
      </c>
      <c r="E1423" s="1">
        <v>40940</v>
      </c>
      <c r="F1423">
        <f t="shared" si="44"/>
        <v>2</v>
      </c>
      <c r="G1423">
        <f t="shared" si="45"/>
        <v>2012</v>
      </c>
    </row>
    <row r="1424" spans="1:7" x14ac:dyDescent="0.25">
      <c r="A1424" t="s">
        <v>12</v>
      </c>
      <c r="B1424" t="s">
        <v>9</v>
      </c>
      <c r="C1424">
        <v>110.88</v>
      </c>
      <c r="D1424">
        <v>109.14321</v>
      </c>
      <c r="E1424" s="1">
        <v>40969</v>
      </c>
      <c r="F1424">
        <f t="shared" si="44"/>
        <v>3</v>
      </c>
      <c r="G1424">
        <f t="shared" si="45"/>
        <v>2012</v>
      </c>
    </row>
    <row r="1425" spans="1:7" x14ac:dyDescent="0.25">
      <c r="A1425" t="s">
        <v>12</v>
      </c>
      <c r="B1425" t="s">
        <v>9</v>
      </c>
      <c r="C1425">
        <v>110.16</v>
      </c>
      <c r="D1425">
        <v>108.13535</v>
      </c>
      <c r="E1425" s="1">
        <v>41000</v>
      </c>
      <c r="F1425">
        <f t="shared" si="44"/>
        <v>4</v>
      </c>
      <c r="G1425">
        <f t="shared" si="45"/>
        <v>2012</v>
      </c>
    </row>
    <row r="1426" spans="1:7" x14ac:dyDescent="0.25">
      <c r="A1426" t="s">
        <v>12</v>
      </c>
      <c r="B1426" t="s">
        <v>9</v>
      </c>
      <c r="C1426">
        <v>111.22</v>
      </c>
      <c r="D1426">
        <v>110.77567000000001</v>
      </c>
      <c r="E1426" s="1">
        <v>41030</v>
      </c>
      <c r="F1426">
        <f t="shared" si="44"/>
        <v>5</v>
      </c>
      <c r="G1426">
        <f t="shared" si="45"/>
        <v>2012</v>
      </c>
    </row>
    <row r="1427" spans="1:7" x14ac:dyDescent="0.25">
      <c r="A1427" t="s">
        <v>12</v>
      </c>
      <c r="B1427" t="s">
        <v>9</v>
      </c>
      <c r="C1427">
        <v>111.48</v>
      </c>
      <c r="D1427">
        <v>109.16727</v>
      </c>
      <c r="E1427" s="1">
        <v>41061</v>
      </c>
      <c r="F1427">
        <f t="shared" si="44"/>
        <v>6</v>
      </c>
      <c r="G1427">
        <f t="shared" si="45"/>
        <v>2012</v>
      </c>
    </row>
    <row r="1428" spans="1:7" x14ac:dyDescent="0.25">
      <c r="A1428" t="s">
        <v>12</v>
      </c>
      <c r="B1428" t="s">
        <v>9</v>
      </c>
      <c r="C1428">
        <v>112.64</v>
      </c>
      <c r="D1428">
        <v>112.92558</v>
      </c>
      <c r="E1428" s="1">
        <v>41091</v>
      </c>
      <c r="F1428">
        <f t="shared" si="44"/>
        <v>7</v>
      </c>
      <c r="G1428">
        <f t="shared" si="45"/>
        <v>2012</v>
      </c>
    </row>
    <row r="1429" spans="1:7" x14ac:dyDescent="0.25">
      <c r="A1429" t="s">
        <v>12</v>
      </c>
      <c r="B1429" t="s">
        <v>9</v>
      </c>
      <c r="C1429">
        <v>110.21</v>
      </c>
      <c r="D1429">
        <v>108.41276000000001</v>
      </c>
      <c r="E1429" s="1">
        <v>41122</v>
      </c>
      <c r="F1429">
        <f t="shared" si="44"/>
        <v>8</v>
      </c>
      <c r="G1429">
        <f t="shared" si="45"/>
        <v>2012</v>
      </c>
    </row>
    <row r="1430" spans="1:7" x14ac:dyDescent="0.25">
      <c r="A1430" t="s">
        <v>12</v>
      </c>
      <c r="B1430" t="s">
        <v>9</v>
      </c>
      <c r="C1430">
        <v>110.01</v>
      </c>
      <c r="D1430">
        <v>106.27497</v>
      </c>
      <c r="E1430" s="1">
        <v>41153</v>
      </c>
      <c r="F1430">
        <f t="shared" si="44"/>
        <v>9</v>
      </c>
      <c r="G1430">
        <f t="shared" si="45"/>
        <v>2012</v>
      </c>
    </row>
    <row r="1431" spans="1:7" x14ac:dyDescent="0.25">
      <c r="A1431" t="s">
        <v>12</v>
      </c>
      <c r="B1431" t="s">
        <v>9</v>
      </c>
      <c r="C1431">
        <v>110.08</v>
      </c>
      <c r="D1431">
        <v>113.31802</v>
      </c>
      <c r="E1431" s="1">
        <v>41183</v>
      </c>
      <c r="F1431">
        <f t="shared" si="44"/>
        <v>10</v>
      </c>
      <c r="G1431">
        <f t="shared" si="45"/>
        <v>2012</v>
      </c>
    </row>
    <row r="1432" spans="1:7" x14ac:dyDescent="0.25">
      <c r="A1432" t="s">
        <v>12</v>
      </c>
      <c r="B1432" t="s">
        <v>9</v>
      </c>
      <c r="C1432">
        <v>108.8</v>
      </c>
      <c r="D1432">
        <v>113.54907</v>
      </c>
      <c r="E1432" s="1">
        <v>41214</v>
      </c>
      <c r="F1432">
        <f t="shared" si="44"/>
        <v>11</v>
      </c>
      <c r="G1432">
        <f t="shared" si="45"/>
        <v>2012</v>
      </c>
    </row>
    <row r="1433" spans="1:7" x14ac:dyDescent="0.25">
      <c r="A1433" t="s">
        <v>12</v>
      </c>
      <c r="B1433" t="s">
        <v>9</v>
      </c>
      <c r="C1433">
        <v>111.58</v>
      </c>
      <c r="D1433">
        <v>125.54719</v>
      </c>
      <c r="E1433" s="1">
        <v>41244</v>
      </c>
      <c r="F1433">
        <f t="shared" si="44"/>
        <v>12</v>
      </c>
      <c r="G1433">
        <f t="shared" si="45"/>
        <v>2012</v>
      </c>
    </row>
    <row r="1434" spans="1:7" x14ac:dyDescent="0.25">
      <c r="A1434" t="s">
        <v>12</v>
      </c>
      <c r="B1434" t="s">
        <v>9</v>
      </c>
      <c r="C1434">
        <v>112.42</v>
      </c>
      <c r="D1434">
        <v>109.70937000000001</v>
      </c>
      <c r="E1434" s="1">
        <v>41275</v>
      </c>
      <c r="F1434">
        <f t="shared" si="44"/>
        <v>1</v>
      </c>
      <c r="G1434">
        <f t="shared" si="45"/>
        <v>2013</v>
      </c>
    </row>
    <row r="1435" spans="1:7" x14ac:dyDescent="0.25">
      <c r="A1435" t="s">
        <v>12</v>
      </c>
      <c r="B1435" t="s">
        <v>9</v>
      </c>
      <c r="C1435">
        <v>110.98</v>
      </c>
      <c r="D1435">
        <v>103.31059999999999</v>
      </c>
      <c r="E1435" s="1">
        <v>41306</v>
      </c>
      <c r="F1435">
        <f t="shared" si="44"/>
        <v>2</v>
      </c>
      <c r="G1435">
        <f t="shared" si="45"/>
        <v>2013</v>
      </c>
    </row>
    <row r="1436" spans="1:7" x14ac:dyDescent="0.25">
      <c r="A1436" t="s">
        <v>12</v>
      </c>
      <c r="B1436" t="s">
        <v>9</v>
      </c>
      <c r="C1436">
        <v>110.74</v>
      </c>
      <c r="D1436">
        <v>106.56596999999999</v>
      </c>
      <c r="E1436" s="1">
        <v>41334</v>
      </c>
      <c r="F1436">
        <f t="shared" si="44"/>
        <v>3</v>
      </c>
      <c r="G1436">
        <f t="shared" si="45"/>
        <v>2013</v>
      </c>
    </row>
    <row r="1437" spans="1:7" x14ac:dyDescent="0.25">
      <c r="A1437" t="s">
        <v>12</v>
      </c>
      <c r="B1437" t="s">
        <v>9</v>
      </c>
      <c r="C1437">
        <v>111.44</v>
      </c>
      <c r="D1437">
        <v>111.91269</v>
      </c>
      <c r="E1437" s="1">
        <v>41365</v>
      </c>
      <c r="F1437">
        <f t="shared" si="44"/>
        <v>4</v>
      </c>
      <c r="G1437">
        <f t="shared" si="45"/>
        <v>2013</v>
      </c>
    </row>
    <row r="1438" spans="1:7" x14ac:dyDescent="0.25">
      <c r="A1438" t="s">
        <v>12</v>
      </c>
      <c r="B1438" t="s">
        <v>9</v>
      </c>
      <c r="C1438">
        <v>110.47</v>
      </c>
      <c r="D1438">
        <v>110.12339</v>
      </c>
      <c r="E1438" s="1">
        <v>41395</v>
      </c>
      <c r="F1438">
        <f t="shared" si="44"/>
        <v>5</v>
      </c>
      <c r="G1438">
        <f t="shared" si="45"/>
        <v>2013</v>
      </c>
    </row>
    <row r="1439" spans="1:7" x14ac:dyDescent="0.25">
      <c r="A1439" t="s">
        <v>12</v>
      </c>
      <c r="B1439" t="s">
        <v>9</v>
      </c>
      <c r="C1439">
        <v>112.26</v>
      </c>
      <c r="D1439">
        <v>108.9496</v>
      </c>
      <c r="E1439" s="1">
        <v>41426</v>
      </c>
      <c r="F1439">
        <f t="shared" si="44"/>
        <v>6</v>
      </c>
      <c r="G1439">
        <f t="shared" si="45"/>
        <v>2013</v>
      </c>
    </row>
    <row r="1440" spans="1:7" x14ac:dyDescent="0.25">
      <c r="A1440" t="s">
        <v>12</v>
      </c>
      <c r="B1440" t="s">
        <v>9</v>
      </c>
      <c r="C1440">
        <v>112.15</v>
      </c>
      <c r="D1440">
        <v>113.84273</v>
      </c>
      <c r="E1440" s="1">
        <v>41456</v>
      </c>
      <c r="F1440">
        <f t="shared" si="44"/>
        <v>7</v>
      </c>
      <c r="G1440">
        <f t="shared" si="45"/>
        <v>2013</v>
      </c>
    </row>
    <row r="1441" spans="1:7" x14ac:dyDescent="0.25">
      <c r="A1441" t="s">
        <v>12</v>
      </c>
      <c r="B1441" t="s">
        <v>9</v>
      </c>
      <c r="C1441">
        <v>113.22</v>
      </c>
      <c r="D1441">
        <v>110.81520999999999</v>
      </c>
      <c r="E1441" s="1">
        <v>41487</v>
      </c>
      <c r="F1441">
        <f t="shared" si="44"/>
        <v>8</v>
      </c>
      <c r="G1441">
        <f t="shared" si="45"/>
        <v>2013</v>
      </c>
    </row>
    <row r="1442" spans="1:7" x14ac:dyDescent="0.25">
      <c r="A1442" t="s">
        <v>12</v>
      </c>
      <c r="B1442" t="s">
        <v>9</v>
      </c>
      <c r="C1442">
        <v>112.38</v>
      </c>
      <c r="D1442">
        <v>110.42402</v>
      </c>
      <c r="E1442" s="1">
        <v>41518</v>
      </c>
      <c r="F1442">
        <f t="shared" si="44"/>
        <v>9</v>
      </c>
      <c r="G1442">
        <f t="shared" si="45"/>
        <v>2013</v>
      </c>
    </row>
    <row r="1443" spans="1:7" x14ac:dyDescent="0.25">
      <c r="A1443" t="s">
        <v>12</v>
      </c>
      <c r="B1443" t="s">
        <v>9</v>
      </c>
      <c r="C1443">
        <v>111.71</v>
      </c>
      <c r="D1443">
        <v>114.12143</v>
      </c>
      <c r="E1443" s="1">
        <v>41548</v>
      </c>
      <c r="F1443">
        <f t="shared" si="44"/>
        <v>10</v>
      </c>
      <c r="G1443">
        <f t="shared" si="45"/>
        <v>2013</v>
      </c>
    </row>
    <row r="1444" spans="1:7" x14ac:dyDescent="0.25">
      <c r="A1444" t="s">
        <v>12</v>
      </c>
      <c r="B1444" t="s">
        <v>9</v>
      </c>
      <c r="C1444">
        <v>114.02</v>
      </c>
      <c r="D1444">
        <v>118.37894</v>
      </c>
      <c r="E1444" s="1">
        <v>41579</v>
      </c>
      <c r="F1444">
        <f t="shared" si="44"/>
        <v>11</v>
      </c>
      <c r="G1444">
        <f t="shared" si="45"/>
        <v>2013</v>
      </c>
    </row>
    <row r="1445" spans="1:7" x14ac:dyDescent="0.25">
      <c r="A1445" t="s">
        <v>12</v>
      </c>
      <c r="B1445" t="s">
        <v>9</v>
      </c>
      <c r="C1445">
        <v>110.28</v>
      </c>
      <c r="D1445">
        <v>124.82702999999999</v>
      </c>
      <c r="E1445" s="1">
        <v>41609</v>
      </c>
      <c r="F1445">
        <f t="shared" si="44"/>
        <v>12</v>
      </c>
      <c r="G1445">
        <f t="shared" si="45"/>
        <v>2013</v>
      </c>
    </row>
    <row r="1446" spans="1:7" x14ac:dyDescent="0.25">
      <c r="A1446" t="s">
        <v>12</v>
      </c>
      <c r="B1446" t="s">
        <v>9</v>
      </c>
      <c r="C1446">
        <v>118.24</v>
      </c>
      <c r="D1446">
        <v>115.90289</v>
      </c>
      <c r="E1446" s="1">
        <v>41640</v>
      </c>
      <c r="F1446">
        <f t="shared" si="44"/>
        <v>1</v>
      </c>
      <c r="G1446">
        <f t="shared" si="45"/>
        <v>2014</v>
      </c>
    </row>
    <row r="1447" spans="1:7" x14ac:dyDescent="0.25">
      <c r="A1447" t="s">
        <v>12</v>
      </c>
      <c r="B1447" t="s">
        <v>9</v>
      </c>
      <c r="C1447">
        <v>112.47</v>
      </c>
      <c r="D1447">
        <v>105.14068</v>
      </c>
      <c r="E1447" s="1">
        <v>41671</v>
      </c>
      <c r="F1447">
        <f t="shared" si="44"/>
        <v>2</v>
      </c>
      <c r="G1447">
        <f t="shared" si="45"/>
        <v>2014</v>
      </c>
    </row>
    <row r="1448" spans="1:7" x14ac:dyDescent="0.25">
      <c r="A1448" t="s">
        <v>12</v>
      </c>
      <c r="B1448" t="s">
        <v>9</v>
      </c>
      <c r="C1448">
        <v>112.02</v>
      </c>
      <c r="D1448">
        <v>108.39524</v>
      </c>
      <c r="E1448" s="1">
        <v>41699</v>
      </c>
      <c r="F1448">
        <f t="shared" si="44"/>
        <v>3</v>
      </c>
      <c r="G1448">
        <f t="shared" si="45"/>
        <v>2014</v>
      </c>
    </row>
    <row r="1449" spans="1:7" x14ac:dyDescent="0.25">
      <c r="A1449" t="s">
        <v>12</v>
      </c>
      <c r="B1449" t="s">
        <v>9</v>
      </c>
      <c r="C1449">
        <v>112.31</v>
      </c>
      <c r="D1449">
        <v>110.44676</v>
      </c>
      <c r="E1449" s="1">
        <v>41730</v>
      </c>
      <c r="F1449">
        <f t="shared" si="44"/>
        <v>4</v>
      </c>
      <c r="G1449">
        <f t="shared" si="45"/>
        <v>2014</v>
      </c>
    </row>
    <row r="1450" spans="1:7" x14ac:dyDescent="0.25">
      <c r="A1450" t="s">
        <v>12</v>
      </c>
      <c r="B1450" t="s">
        <v>9</v>
      </c>
      <c r="C1450">
        <v>112.55</v>
      </c>
      <c r="D1450">
        <v>112.31323999999999</v>
      </c>
      <c r="E1450" s="1">
        <v>41760</v>
      </c>
      <c r="F1450">
        <f t="shared" si="44"/>
        <v>5</v>
      </c>
      <c r="G1450">
        <f t="shared" si="45"/>
        <v>2014</v>
      </c>
    </row>
    <row r="1451" spans="1:7" x14ac:dyDescent="0.25">
      <c r="A1451" t="s">
        <v>12</v>
      </c>
      <c r="B1451" t="s">
        <v>9</v>
      </c>
      <c r="C1451">
        <v>110.35</v>
      </c>
      <c r="D1451">
        <v>108.06383</v>
      </c>
      <c r="E1451" s="1">
        <v>41791</v>
      </c>
      <c r="F1451">
        <f t="shared" si="44"/>
        <v>6</v>
      </c>
      <c r="G1451">
        <f t="shared" si="45"/>
        <v>2014</v>
      </c>
    </row>
    <row r="1452" spans="1:7" x14ac:dyDescent="0.25">
      <c r="A1452" t="s">
        <v>12</v>
      </c>
      <c r="B1452" t="s">
        <v>9</v>
      </c>
      <c r="C1452">
        <v>112.11</v>
      </c>
      <c r="D1452">
        <v>112.89013</v>
      </c>
      <c r="E1452" s="1">
        <v>41821</v>
      </c>
      <c r="F1452">
        <f t="shared" si="44"/>
        <v>7</v>
      </c>
      <c r="G1452">
        <f t="shared" si="45"/>
        <v>2014</v>
      </c>
    </row>
    <row r="1453" spans="1:7" x14ac:dyDescent="0.25">
      <c r="A1453" t="s">
        <v>12</v>
      </c>
      <c r="B1453" t="s">
        <v>9</v>
      </c>
      <c r="C1453">
        <v>113.1</v>
      </c>
      <c r="D1453">
        <v>109.95343</v>
      </c>
      <c r="E1453" s="1">
        <v>41852</v>
      </c>
      <c r="F1453">
        <f t="shared" si="44"/>
        <v>8</v>
      </c>
      <c r="G1453">
        <f t="shared" si="45"/>
        <v>2014</v>
      </c>
    </row>
    <row r="1454" spans="1:7" x14ac:dyDescent="0.25">
      <c r="A1454" t="s">
        <v>12</v>
      </c>
      <c r="B1454" t="s">
        <v>9</v>
      </c>
      <c r="C1454">
        <v>117.21</v>
      </c>
      <c r="D1454">
        <v>116.53166</v>
      </c>
      <c r="E1454" s="1">
        <v>41883</v>
      </c>
      <c r="F1454">
        <f t="shared" si="44"/>
        <v>9</v>
      </c>
      <c r="G1454">
        <f t="shared" si="45"/>
        <v>2014</v>
      </c>
    </row>
    <row r="1455" spans="1:7" x14ac:dyDescent="0.25">
      <c r="A1455" t="s">
        <v>12</v>
      </c>
      <c r="B1455" t="s">
        <v>9</v>
      </c>
      <c r="C1455">
        <v>115.65</v>
      </c>
      <c r="D1455">
        <v>119.31353</v>
      </c>
      <c r="E1455" s="1">
        <v>41913</v>
      </c>
      <c r="F1455">
        <f t="shared" si="44"/>
        <v>10</v>
      </c>
      <c r="G1455">
        <f t="shared" si="45"/>
        <v>2014</v>
      </c>
    </row>
    <row r="1456" spans="1:7" x14ac:dyDescent="0.25">
      <c r="A1456" t="s">
        <v>12</v>
      </c>
      <c r="B1456" t="s">
        <v>9</v>
      </c>
      <c r="C1456">
        <v>114.55</v>
      </c>
      <c r="D1456">
        <v>117.10787000000001</v>
      </c>
      <c r="E1456" s="1">
        <v>41944</v>
      </c>
      <c r="F1456">
        <f t="shared" si="44"/>
        <v>11</v>
      </c>
      <c r="G1456">
        <f t="shared" si="45"/>
        <v>2014</v>
      </c>
    </row>
    <row r="1457" spans="1:7" x14ac:dyDescent="0.25">
      <c r="A1457" t="s">
        <v>12</v>
      </c>
      <c r="B1457" t="s">
        <v>9</v>
      </c>
      <c r="C1457">
        <v>116.7</v>
      </c>
      <c r="D1457">
        <v>132.89111</v>
      </c>
      <c r="E1457" s="1">
        <v>41974</v>
      </c>
      <c r="F1457">
        <f t="shared" si="44"/>
        <v>12</v>
      </c>
      <c r="G1457">
        <f t="shared" si="45"/>
        <v>2014</v>
      </c>
    </row>
    <row r="1458" spans="1:7" x14ac:dyDescent="0.25">
      <c r="A1458" t="s">
        <v>12</v>
      </c>
      <c r="B1458" t="s">
        <v>9</v>
      </c>
      <c r="C1458">
        <v>118.03</v>
      </c>
      <c r="D1458">
        <v>113.97405999999999</v>
      </c>
      <c r="E1458" s="1">
        <v>42005</v>
      </c>
      <c r="F1458">
        <f t="shared" si="44"/>
        <v>1</v>
      </c>
      <c r="G1458">
        <f t="shared" si="45"/>
        <v>2015</v>
      </c>
    </row>
    <row r="1459" spans="1:7" x14ac:dyDescent="0.25">
      <c r="A1459" t="s">
        <v>12</v>
      </c>
      <c r="B1459" t="s">
        <v>9</v>
      </c>
      <c r="C1459">
        <v>113.78</v>
      </c>
      <c r="D1459">
        <v>104.33298000000001</v>
      </c>
      <c r="E1459" s="1">
        <v>42036</v>
      </c>
      <c r="F1459">
        <f t="shared" si="44"/>
        <v>2</v>
      </c>
      <c r="G1459">
        <f t="shared" si="45"/>
        <v>2015</v>
      </c>
    </row>
    <row r="1460" spans="1:7" x14ac:dyDescent="0.25">
      <c r="A1460" t="s">
        <v>12</v>
      </c>
      <c r="B1460" t="s">
        <v>9</v>
      </c>
      <c r="C1460">
        <v>118.41</v>
      </c>
      <c r="D1460">
        <v>116.03348</v>
      </c>
      <c r="E1460" s="1">
        <v>42064</v>
      </c>
      <c r="F1460">
        <f t="shared" si="44"/>
        <v>3</v>
      </c>
      <c r="G1460">
        <f t="shared" si="45"/>
        <v>2015</v>
      </c>
    </row>
    <row r="1461" spans="1:7" x14ac:dyDescent="0.25">
      <c r="A1461" t="s">
        <v>12</v>
      </c>
      <c r="B1461" t="s">
        <v>9</v>
      </c>
      <c r="C1461">
        <v>117.29</v>
      </c>
      <c r="D1461">
        <v>115.59356</v>
      </c>
      <c r="E1461" s="1">
        <v>42095</v>
      </c>
      <c r="F1461">
        <f t="shared" si="44"/>
        <v>4</v>
      </c>
      <c r="G1461">
        <f t="shared" si="45"/>
        <v>2015</v>
      </c>
    </row>
    <row r="1462" spans="1:7" x14ac:dyDescent="0.25">
      <c r="A1462" t="s">
        <v>12</v>
      </c>
      <c r="B1462" t="s">
        <v>9</v>
      </c>
      <c r="C1462">
        <v>116.01</v>
      </c>
      <c r="D1462">
        <v>114.94674999999999</v>
      </c>
      <c r="E1462" s="1">
        <v>42125</v>
      </c>
      <c r="F1462">
        <f t="shared" si="44"/>
        <v>5</v>
      </c>
      <c r="G1462">
        <f t="shared" si="45"/>
        <v>2015</v>
      </c>
    </row>
    <row r="1463" spans="1:7" x14ac:dyDescent="0.25">
      <c r="A1463" t="s">
        <v>12</v>
      </c>
      <c r="B1463" t="s">
        <v>9</v>
      </c>
      <c r="C1463">
        <v>116.63</v>
      </c>
      <c r="D1463">
        <v>115.40106</v>
      </c>
      <c r="E1463" s="1">
        <v>42156</v>
      </c>
      <c r="F1463">
        <f t="shared" si="44"/>
        <v>6</v>
      </c>
      <c r="G1463">
        <f t="shared" si="45"/>
        <v>2015</v>
      </c>
    </row>
    <row r="1464" spans="1:7" x14ac:dyDescent="0.25">
      <c r="A1464" t="s">
        <v>12</v>
      </c>
      <c r="B1464" t="s">
        <v>9</v>
      </c>
      <c r="C1464">
        <v>113.28</v>
      </c>
      <c r="D1464">
        <v>115.34016</v>
      </c>
      <c r="E1464" s="1">
        <v>42186</v>
      </c>
      <c r="F1464">
        <f t="shared" si="44"/>
        <v>7</v>
      </c>
      <c r="G1464">
        <f t="shared" si="45"/>
        <v>2015</v>
      </c>
    </row>
    <row r="1465" spans="1:7" x14ac:dyDescent="0.25">
      <c r="A1465" t="s">
        <v>12</v>
      </c>
      <c r="B1465" t="s">
        <v>9</v>
      </c>
      <c r="C1465">
        <v>110.85</v>
      </c>
      <c r="D1465">
        <v>108.42182</v>
      </c>
      <c r="E1465" s="1">
        <v>42217</v>
      </c>
      <c r="F1465">
        <f t="shared" si="44"/>
        <v>8</v>
      </c>
      <c r="G1465">
        <f t="shared" si="45"/>
        <v>2015</v>
      </c>
    </row>
    <row r="1466" spans="1:7" x14ac:dyDescent="0.25">
      <c r="A1466" t="s">
        <v>12</v>
      </c>
      <c r="B1466" t="s">
        <v>9</v>
      </c>
      <c r="C1466">
        <v>111.23</v>
      </c>
      <c r="D1466">
        <v>110.16776</v>
      </c>
      <c r="E1466" s="1">
        <v>42248</v>
      </c>
      <c r="F1466">
        <f t="shared" si="44"/>
        <v>9</v>
      </c>
      <c r="G1466">
        <f t="shared" si="45"/>
        <v>2015</v>
      </c>
    </row>
    <row r="1467" spans="1:7" x14ac:dyDescent="0.25">
      <c r="A1467" t="s">
        <v>12</v>
      </c>
      <c r="B1467" t="s">
        <v>9</v>
      </c>
      <c r="C1467">
        <v>111.29</v>
      </c>
      <c r="D1467">
        <v>114.71038</v>
      </c>
      <c r="E1467" s="1">
        <v>42278</v>
      </c>
      <c r="F1467">
        <f t="shared" si="44"/>
        <v>10</v>
      </c>
      <c r="G1467">
        <f t="shared" si="45"/>
        <v>2015</v>
      </c>
    </row>
    <row r="1468" spans="1:7" x14ac:dyDescent="0.25">
      <c r="A1468" t="s">
        <v>12</v>
      </c>
      <c r="B1468" t="s">
        <v>9</v>
      </c>
      <c r="C1468">
        <v>110.82</v>
      </c>
      <c r="D1468">
        <v>114.97358</v>
      </c>
      <c r="E1468" s="1">
        <v>42309</v>
      </c>
      <c r="F1468">
        <f t="shared" si="44"/>
        <v>11</v>
      </c>
      <c r="G1468">
        <f t="shared" si="45"/>
        <v>2015</v>
      </c>
    </row>
    <row r="1469" spans="1:7" x14ac:dyDescent="0.25">
      <c r="A1469" t="s">
        <v>12</v>
      </c>
      <c r="B1469" t="s">
        <v>9</v>
      </c>
      <c r="C1469">
        <v>109.16</v>
      </c>
      <c r="D1469">
        <v>124.68794</v>
      </c>
      <c r="E1469" s="1">
        <v>42339</v>
      </c>
      <c r="F1469">
        <f t="shared" si="44"/>
        <v>12</v>
      </c>
      <c r="G1469">
        <f t="shared" si="45"/>
        <v>2015</v>
      </c>
    </row>
    <row r="1470" spans="1:7" x14ac:dyDescent="0.25">
      <c r="A1470" t="s">
        <v>12</v>
      </c>
      <c r="B1470" t="s">
        <v>9</v>
      </c>
      <c r="C1470">
        <v>112.21</v>
      </c>
      <c r="D1470">
        <v>105.61015999999999</v>
      </c>
      <c r="E1470" s="1">
        <v>42370</v>
      </c>
      <c r="F1470">
        <f t="shared" si="44"/>
        <v>1</v>
      </c>
      <c r="G1470">
        <f t="shared" si="45"/>
        <v>2016</v>
      </c>
    </row>
    <row r="1471" spans="1:7" x14ac:dyDescent="0.25">
      <c r="A1471" t="s">
        <v>12</v>
      </c>
      <c r="B1471" t="s">
        <v>9</v>
      </c>
      <c r="C1471">
        <v>112.15</v>
      </c>
      <c r="D1471">
        <v>101.62694</v>
      </c>
      <c r="E1471" s="1">
        <v>42401</v>
      </c>
      <c r="F1471">
        <f t="shared" si="44"/>
        <v>2</v>
      </c>
      <c r="G1471">
        <f t="shared" si="45"/>
        <v>2016</v>
      </c>
    </row>
    <row r="1472" spans="1:7" x14ac:dyDescent="0.25">
      <c r="A1472" t="s">
        <v>12</v>
      </c>
      <c r="B1472" t="s">
        <v>9</v>
      </c>
      <c r="C1472">
        <v>112.79</v>
      </c>
      <c r="D1472">
        <v>108.71850999999999</v>
      </c>
      <c r="E1472" s="1">
        <v>42430</v>
      </c>
      <c r="F1472">
        <f t="shared" si="44"/>
        <v>3</v>
      </c>
      <c r="G1472">
        <f t="shared" si="45"/>
        <v>2016</v>
      </c>
    </row>
    <row r="1473" spans="1:7" x14ac:dyDescent="0.25">
      <c r="A1473" t="s">
        <v>12</v>
      </c>
      <c r="B1473" t="s">
        <v>9</v>
      </c>
      <c r="C1473">
        <v>112.43</v>
      </c>
      <c r="D1473">
        <v>112.48465</v>
      </c>
      <c r="E1473" s="1">
        <v>42461</v>
      </c>
      <c r="F1473">
        <f t="shared" si="44"/>
        <v>4</v>
      </c>
      <c r="G1473">
        <f t="shared" si="45"/>
        <v>2016</v>
      </c>
    </row>
    <row r="1474" spans="1:7" x14ac:dyDescent="0.25">
      <c r="A1474" t="s">
        <v>12</v>
      </c>
      <c r="B1474" t="s">
        <v>9</v>
      </c>
      <c r="C1474">
        <v>111.39</v>
      </c>
      <c r="D1474">
        <v>108.91942</v>
      </c>
      <c r="E1474" s="1">
        <v>42491</v>
      </c>
      <c r="F1474">
        <f t="shared" ref="F1474:F1537" si="46">MONTH(E1474)</f>
        <v>5</v>
      </c>
      <c r="G1474">
        <f t="shared" ref="G1474:G1537" si="47">YEAR(E1474)</f>
        <v>2016</v>
      </c>
    </row>
    <row r="1475" spans="1:7" x14ac:dyDescent="0.25">
      <c r="A1475" t="s">
        <v>12</v>
      </c>
      <c r="B1475" t="s">
        <v>9</v>
      </c>
      <c r="C1475">
        <v>111.7</v>
      </c>
      <c r="D1475">
        <v>112.24771</v>
      </c>
      <c r="E1475" s="1">
        <v>42522</v>
      </c>
      <c r="F1475">
        <f t="shared" si="46"/>
        <v>6</v>
      </c>
      <c r="G1475">
        <f t="shared" si="47"/>
        <v>2016</v>
      </c>
    </row>
    <row r="1476" spans="1:7" x14ac:dyDescent="0.25">
      <c r="A1476" t="s">
        <v>12</v>
      </c>
      <c r="B1476" t="s">
        <v>9</v>
      </c>
      <c r="C1476">
        <v>116.03</v>
      </c>
      <c r="D1476">
        <v>116.66691</v>
      </c>
      <c r="E1476" s="1">
        <v>42552</v>
      </c>
      <c r="F1476">
        <f t="shared" si="46"/>
        <v>7</v>
      </c>
      <c r="G1476">
        <f t="shared" si="47"/>
        <v>2016</v>
      </c>
    </row>
    <row r="1477" spans="1:7" x14ac:dyDescent="0.25">
      <c r="A1477" t="s">
        <v>12</v>
      </c>
      <c r="B1477" t="s">
        <v>9</v>
      </c>
      <c r="C1477">
        <v>111.7</v>
      </c>
      <c r="D1477">
        <v>111.21062999999999</v>
      </c>
      <c r="E1477" s="1">
        <v>42583</v>
      </c>
      <c r="F1477">
        <f t="shared" si="46"/>
        <v>8</v>
      </c>
      <c r="G1477">
        <f t="shared" si="47"/>
        <v>2016</v>
      </c>
    </row>
    <row r="1478" spans="1:7" x14ac:dyDescent="0.25">
      <c r="A1478" t="s">
        <v>12</v>
      </c>
      <c r="B1478" t="s">
        <v>9</v>
      </c>
      <c r="C1478">
        <v>111.17</v>
      </c>
      <c r="D1478">
        <v>111.38824</v>
      </c>
      <c r="E1478" s="1">
        <v>42614</v>
      </c>
      <c r="F1478">
        <f t="shared" si="46"/>
        <v>9</v>
      </c>
      <c r="G1478">
        <f t="shared" si="47"/>
        <v>2016</v>
      </c>
    </row>
    <row r="1479" spans="1:7" x14ac:dyDescent="0.25">
      <c r="A1479" t="s">
        <v>12</v>
      </c>
      <c r="B1479" t="s">
        <v>9</v>
      </c>
      <c r="C1479">
        <v>110.79</v>
      </c>
      <c r="D1479">
        <v>113.78158000000001</v>
      </c>
      <c r="E1479" s="1">
        <v>42644</v>
      </c>
      <c r="F1479">
        <f t="shared" si="46"/>
        <v>10</v>
      </c>
      <c r="G1479">
        <f t="shared" si="47"/>
        <v>2016</v>
      </c>
    </row>
    <row r="1480" spans="1:7" x14ac:dyDescent="0.25">
      <c r="A1480" t="s">
        <v>12</v>
      </c>
      <c r="B1480" t="s">
        <v>9</v>
      </c>
      <c r="C1480">
        <v>110.31</v>
      </c>
      <c r="D1480">
        <v>114.83633</v>
      </c>
      <c r="E1480" s="1">
        <v>42675</v>
      </c>
      <c r="F1480">
        <f t="shared" si="46"/>
        <v>11</v>
      </c>
      <c r="G1480">
        <f t="shared" si="47"/>
        <v>2016</v>
      </c>
    </row>
    <row r="1481" spans="1:7" x14ac:dyDescent="0.25">
      <c r="A1481" t="s">
        <v>12</v>
      </c>
      <c r="B1481" t="s">
        <v>9</v>
      </c>
      <c r="C1481">
        <v>109.89</v>
      </c>
      <c r="D1481">
        <v>125.89606999999999</v>
      </c>
      <c r="E1481" s="1">
        <v>42705</v>
      </c>
      <c r="F1481">
        <f t="shared" si="46"/>
        <v>12</v>
      </c>
      <c r="G1481">
        <f t="shared" si="47"/>
        <v>2016</v>
      </c>
    </row>
    <row r="1482" spans="1:7" x14ac:dyDescent="0.25">
      <c r="A1482" t="s">
        <v>12</v>
      </c>
      <c r="B1482" t="s">
        <v>9</v>
      </c>
      <c r="C1482">
        <v>106.06</v>
      </c>
      <c r="D1482">
        <v>98.447779999999995</v>
      </c>
      <c r="E1482" s="1">
        <v>42736</v>
      </c>
      <c r="F1482">
        <f t="shared" si="46"/>
        <v>1</v>
      </c>
      <c r="G1482">
        <f t="shared" si="47"/>
        <v>2017</v>
      </c>
    </row>
    <row r="1483" spans="1:7" x14ac:dyDescent="0.25">
      <c r="A1483" t="s">
        <v>12</v>
      </c>
      <c r="B1483" t="s">
        <v>9</v>
      </c>
      <c r="C1483">
        <v>105.16</v>
      </c>
      <c r="D1483">
        <v>94.224189999999993</v>
      </c>
      <c r="E1483" s="1">
        <v>42767</v>
      </c>
      <c r="F1483">
        <f t="shared" si="46"/>
        <v>2</v>
      </c>
      <c r="G1483">
        <f t="shared" si="47"/>
        <v>2017</v>
      </c>
    </row>
    <row r="1484" spans="1:7" x14ac:dyDescent="0.25">
      <c r="A1484" t="s">
        <v>12</v>
      </c>
      <c r="B1484" t="s">
        <v>9</v>
      </c>
      <c r="C1484">
        <v>105.32</v>
      </c>
      <c r="D1484">
        <v>103.52311</v>
      </c>
      <c r="E1484" s="1">
        <v>42795</v>
      </c>
      <c r="F1484">
        <f t="shared" si="46"/>
        <v>3</v>
      </c>
      <c r="G1484">
        <f t="shared" si="47"/>
        <v>2017</v>
      </c>
    </row>
    <row r="1485" spans="1:7" x14ac:dyDescent="0.25">
      <c r="A1485" t="s">
        <v>12</v>
      </c>
      <c r="B1485" t="s">
        <v>9</v>
      </c>
      <c r="C1485">
        <v>106.32</v>
      </c>
      <c r="D1485">
        <v>102.85616</v>
      </c>
      <c r="E1485" s="1">
        <v>42826</v>
      </c>
      <c r="F1485">
        <f t="shared" si="46"/>
        <v>4</v>
      </c>
      <c r="G1485">
        <f t="shared" si="47"/>
        <v>2017</v>
      </c>
    </row>
    <row r="1486" spans="1:7" x14ac:dyDescent="0.25">
      <c r="A1486" t="s">
        <v>12</v>
      </c>
      <c r="B1486" t="s">
        <v>9</v>
      </c>
      <c r="C1486">
        <v>107.78</v>
      </c>
      <c r="D1486">
        <v>109.30235</v>
      </c>
      <c r="E1486" s="1">
        <v>42856</v>
      </c>
      <c r="F1486">
        <f t="shared" si="46"/>
        <v>5</v>
      </c>
      <c r="G1486">
        <f t="shared" si="47"/>
        <v>2017</v>
      </c>
    </row>
    <row r="1487" spans="1:7" x14ac:dyDescent="0.25">
      <c r="A1487" t="s">
        <v>12</v>
      </c>
      <c r="B1487" t="s">
        <v>9</v>
      </c>
      <c r="C1487">
        <v>108.89</v>
      </c>
      <c r="D1487">
        <v>107.8749</v>
      </c>
      <c r="E1487" s="1">
        <v>42887</v>
      </c>
      <c r="F1487">
        <f t="shared" si="46"/>
        <v>6</v>
      </c>
      <c r="G1487">
        <f t="shared" si="47"/>
        <v>2017</v>
      </c>
    </row>
    <row r="1488" spans="1:7" x14ac:dyDescent="0.25">
      <c r="A1488" t="s">
        <v>12</v>
      </c>
      <c r="B1488" t="s">
        <v>9</v>
      </c>
      <c r="C1488">
        <v>110.15</v>
      </c>
      <c r="D1488">
        <v>111.14364</v>
      </c>
      <c r="E1488" s="1">
        <v>42917</v>
      </c>
      <c r="F1488">
        <f t="shared" si="46"/>
        <v>7</v>
      </c>
      <c r="G1488">
        <f t="shared" si="47"/>
        <v>2017</v>
      </c>
    </row>
    <row r="1489" spans="1:7" x14ac:dyDescent="0.25">
      <c r="A1489" t="s">
        <v>12</v>
      </c>
      <c r="B1489" t="s">
        <v>9</v>
      </c>
      <c r="C1489">
        <v>110.13</v>
      </c>
      <c r="D1489">
        <v>108.8202</v>
      </c>
      <c r="E1489" s="1">
        <v>42948</v>
      </c>
      <c r="F1489">
        <f t="shared" si="46"/>
        <v>8</v>
      </c>
      <c r="G1489">
        <f t="shared" si="47"/>
        <v>2017</v>
      </c>
    </row>
    <row r="1490" spans="1:7" x14ac:dyDescent="0.25">
      <c r="A1490" t="s">
        <v>12</v>
      </c>
      <c r="B1490" t="s">
        <v>9</v>
      </c>
      <c r="C1490">
        <v>107.17</v>
      </c>
      <c r="D1490">
        <v>107.62304</v>
      </c>
      <c r="E1490" s="1">
        <v>42979</v>
      </c>
      <c r="F1490">
        <f t="shared" si="46"/>
        <v>9</v>
      </c>
      <c r="G1490">
        <f t="shared" si="47"/>
        <v>2017</v>
      </c>
    </row>
    <row r="1491" spans="1:7" x14ac:dyDescent="0.25">
      <c r="A1491" t="s">
        <v>12</v>
      </c>
      <c r="B1491" t="s">
        <v>9</v>
      </c>
      <c r="C1491">
        <v>106.81</v>
      </c>
      <c r="D1491">
        <v>110.21795</v>
      </c>
      <c r="E1491" s="1">
        <v>43009</v>
      </c>
      <c r="F1491">
        <f t="shared" si="46"/>
        <v>10</v>
      </c>
      <c r="G1491">
        <f t="shared" si="47"/>
        <v>2017</v>
      </c>
    </row>
    <row r="1492" spans="1:7" x14ac:dyDescent="0.25">
      <c r="A1492" t="s">
        <v>12</v>
      </c>
      <c r="B1492" t="s">
        <v>9</v>
      </c>
      <c r="C1492">
        <v>105.3</v>
      </c>
      <c r="D1492">
        <v>110.24713</v>
      </c>
      <c r="E1492" s="1">
        <v>43040</v>
      </c>
      <c r="F1492">
        <f t="shared" si="46"/>
        <v>11</v>
      </c>
      <c r="G1492">
        <f t="shared" si="47"/>
        <v>2017</v>
      </c>
    </row>
    <row r="1493" spans="1:7" x14ac:dyDescent="0.25">
      <c r="A1493" t="s">
        <v>12</v>
      </c>
      <c r="B1493" t="s">
        <v>9</v>
      </c>
      <c r="C1493">
        <v>109.36</v>
      </c>
      <c r="D1493">
        <v>124.46791</v>
      </c>
      <c r="E1493" s="1">
        <v>43070</v>
      </c>
      <c r="F1493">
        <f t="shared" si="46"/>
        <v>12</v>
      </c>
      <c r="G1493">
        <f t="shared" si="47"/>
        <v>2017</v>
      </c>
    </row>
    <row r="1494" spans="1:7" x14ac:dyDescent="0.25">
      <c r="A1494" t="s">
        <v>12</v>
      </c>
      <c r="B1494" t="s">
        <v>9</v>
      </c>
      <c r="C1494">
        <v>106.41</v>
      </c>
      <c r="D1494">
        <v>98.992660000000001</v>
      </c>
      <c r="E1494" s="1">
        <v>43101</v>
      </c>
      <c r="F1494">
        <f t="shared" si="46"/>
        <v>1</v>
      </c>
      <c r="G1494">
        <f t="shared" si="47"/>
        <v>2018</v>
      </c>
    </row>
    <row r="1495" spans="1:7" x14ac:dyDescent="0.25">
      <c r="A1495" t="s">
        <v>12</v>
      </c>
      <c r="B1495" t="s">
        <v>9</v>
      </c>
      <c r="C1495">
        <v>107.72</v>
      </c>
      <c r="D1495">
        <v>96.413889999999995</v>
      </c>
      <c r="E1495" s="1">
        <v>43132</v>
      </c>
      <c r="F1495">
        <f t="shared" si="46"/>
        <v>2</v>
      </c>
      <c r="G1495">
        <f t="shared" si="47"/>
        <v>2018</v>
      </c>
    </row>
    <row r="1496" spans="1:7" x14ac:dyDescent="0.25">
      <c r="A1496" t="s">
        <v>12</v>
      </c>
      <c r="B1496" t="s">
        <v>9</v>
      </c>
      <c r="C1496">
        <v>107.59</v>
      </c>
      <c r="D1496">
        <v>103.46578</v>
      </c>
      <c r="E1496" s="1">
        <v>43160</v>
      </c>
      <c r="F1496">
        <f t="shared" si="46"/>
        <v>3</v>
      </c>
      <c r="G1496">
        <f t="shared" si="47"/>
        <v>2018</v>
      </c>
    </row>
    <row r="1497" spans="1:7" x14ac:dyDescent="0.25">
      <c r="A1497" t="s">
        <v>12</v>
      </c>
      <c r="B1497" t="s">
        <v>9</v>
      </c>
      <c r="C1497">
        <v>109.35</v>
      </c>
      <c r="D1497">
        <v>108.60746</v>
      </c>
      <c r="E1497" s="1">
        <v>43191</v>
      </c>
      <c r="F1497">
        <f t="shared" si="46"/>
        <v>4</v>
      </c>
      <c r="G1497">
        <f t="shared" si="47"/>
        <v>2018</v>
      </c>
    </row>
    <row r="1498" spans="1:7" x14ac:dyDescent="0.25">
      <c r="A1498" t="s">
        <v>12</v>
      </c>
      <c r="B1498" t="s">
        <v>9</v>
      </c>
      <c r="C1498">
        <v>107.91</v>
      </c>
      <c r="D1498">
        <v>108.55028</v>
      </c>
      <c r="E1498" s="1">
        <v>43221</v>
      </c>
      <c r="F1498">
        <f t="shared" si="46"/>
        <v>5</v>
      </c>
      <c r="G1498">
        <f t="shared" si="47"/>
        <v>2018</v>
      </c>
    </row>
    <row r="1499" spans="1:7" x14ac:dyDescent="0.25">
      <c r="A1499" t="s">
        <v>12</v>
      </c>
      <c r="B1499" t="s">
        <v>9</v>
      </c>
      <c r="C1499">
        <v>107.29</v>
      </c>
      <c r="D1499">
        <v>106.18734000000001</v>
      </c>
      <c r="E1499" s="1">
        <v>43252</v>
      </c>
      <c r="F1499">
        <f t="shared" si="46"/>
        <v>6</v>
      </c>
      <c r="G1499">
        <f t="shared" si="47"/>
        <v>2018</v>
      </c>
    </row>
    <row r="1500" spans="1:7" x14ac:dyDescent="0.25">
      <c r="A1500" t="s">
        <v>12</v>
      </c>
      <c r="B1500" t="s">
        <v>9</v>
      </c>
      <c r="C1500">
        <v>108.41</v>
      </c>
      <c r="D1500">
        <v>109.67899</v>
      </c>
      <c r="E1500" s="1">
        <v>43282</v>
      </c>
      <c r="F1500">
        <f t="shared" si="46"/>
        <v>7</v>
      </c>
      <c r="G1500">
        <f t="shared" si="47"/>
        <v>2018</v>
      </c>
    </row>
    <row r="1501" spans="1:7" x14ac:dyDescent="0.25">
      <c r="A1501" t="s">
        <v>12</v>
      </c>
      <c r="B1501" t="s">
        <v>9</v>
      </c>
      <c r="C1501">
        <v>112.46</v>
      </c>
      <c r="D1501">
        <v>112.37733</v>
      </c>
      <c r="E1501" s="1">
        <v>43313</v>
      </c>
      <c r="F1501">
        <f t="shared" si="46"/>
        <v>8</v>
      </c>
      <c r="G1501">
        <f t="shared" si="47"/>
        <v>2018</v>
      </c>
    </row>
    <row r="1502" spans="1:7" x14ac:dyDescent="0.25">
      <c r="A1502" t="s">
        <v>12</v>
      </c>
      <c r="B1502" t="s">
        <v>9</v>
      </c>
      <c r="C1502">
        <v>107.89</v>
      </c>
      <c r="D1502">
        <v>106.94492</v>
      </c>
      <c r="E1502" s="1">
        <v>43344</v>
      </c>
      <c r="F1502">
        <f t="shared" si="46"/>
        <v>9</v>
      </c>
      <c r="G1502">
        <f t="shared" si="47"/>
        <v>2018</v>
      </c>
    </row>
    <row r="1503" spans="1:7" x14ac:dyDescent="0.25">
      <c r="A1503" t="s">
        <v>12</v>
      </c>
      <c r="B1503" t="s">
        <v>9</v>
      </c>
      <c r="C1503">
        <v>108.01</v>
      </c>
      <c r="D1503">
        <v>112.4679</v>
      </c>
      <c r="E1503" s="1">
        <v>43374</v>
      </c>
      <c r="F1503">
        <f t="shared" si="46"/>
        <v>10</v>
      </c>
      <c r="G1503">
        <f t="shared" si="47"/>
        <v>2018</v>
      </c>
    </row>
    <row r="1504" spans="1:7" x14ac:dyDescent="0.25">
      <c r="A1504" t="s">
        <v>12</v>
      </c>
      <c r="B1504" t="s">
        <v>9</v>
      </c>
      <c r="C1504">
        <v>108.45</v>
      </c>
      <c r="D1504">
        <v>114.20858</v>
      </c>
      <c r="E1504" s="1">
        <v>43405</v>
      </c>
      <c r="F1504">
        <f t="shared" si="46"/>
        <v>11</v>
      </c>
      <c r="G1504">
        <f t="shared" si="47"/>
        <v>2018</v>
      </c>
    </row>
    <row r="1505" spans="1:7" x14ac:dyDescent="0.25">
      <c r="A1505" t="s">
        <v>12</v>
      </c>
      <c r="B1505" t="s">
        <v>9</v>
      </c>
      <c r="C1505">
        <v>107.87</v>
      </c>
      <c r="D1505">
        <v>123.16107</v>
      </c>
      <c r="E1505" s="1">
        <v>43435</v>
      </c>
      <c r="F1505">
        <f t="shared" si="46"/>
        <v>12</v>
      </c>
      <c r="G1505">
        <f t="shared" si="47"/>
        <v>2018</v>
      </c>
    </row>
    <row r="1506" spans="1:7" x14ac:dyDescent="0.25">
      <c r="A1506" t="s">
        <v>12</v>
      </c>
      <c r="B1506" t="s">
        <v>9</v>
      </c>
      <c r="C1506">
        <v>106.03</v>
      </c>
      <c r="D1506">
        <v>97.074190000000002</v>
      </c>
      <c r="E1506" s="1">
        <v>43466</v>
      </c>
      <c r="F1506">
        <f t="shared" si="46"/>
        <v>1</v>
      </c>
      <c r="G1506">
        <f t="shared" si="47"/>
        <v>2019</v>
      </c>
    </row>
    <row r="1507" spans="1:7" x14ac:dyDescent="0.25">
      <c r="A1507" t="s">
        <v>12</v>
      </c>
      <c r="B1507" t="s">
        <v>9</v>
      </c>
      <c r="C1507">
        <v>107.68</v>
      </c>
      <c r="D1507">
        <v>97.916179999999997</v>
      </c>
      <c r="E1507" s="1">
        <v>43497</v>
      </c>
      <c r="F1507">
        <f t="shared" si="46"/>
        <v>2</v>
      </c>
      <c r="G1507">
        <f t="shared" si="47"/>
        <v>2019</v>
      </c>
    </row>
    <row r="1508" spans="1:7" x14ac:dyDescent="0.25">
      <c r="A1508" t="s">
        <v>12</v>
      </c>
      <c r="B1508" t="s">
        <v>9</v>
      </c>
      <c r="C1508">
        <v>107.65</v>
      </c>
      <c r="D1508">
        <v>102.53971</v>
      </c>
      <c r="E1508" s="1">
        <v>43525</v>
      </c>
      <c r="F1508">
        <f t="shared" si="46"/>
        <v>3</v>
      </c>
      <c r="G1508">
        <f t="shared" si="47"/>
        <v>2019</v>
      </c>
    </row>
    <row r="1509" spans="1:7" x14ac:dyDescent="0.25">
      <c r="A1509" t="s">
        <v>12</v>
      </c>
      <c r="B1509" t="s">
        <v>9</v>
      </c>
      <c r="C1509">
        <v>107.94</v>
      </c>
      <c r="D1509">
        <v>106.33384</v>
      </c>
      <c r="E1509" s="1">
        <v>43556</v>
      </c>
      <c r="F1509">
        <f t="shared" si="46"/>
        <v>4</v>
      </c>
      <c r="G1509">
        <f t="shared" si="47"/>
        <v>2019</v>
      </c>
    </row>
    <row r="1510" spans="1:7" x14ac:dyDescent="0.25">
      <c r="A1510" t="s">
        <v>12</v>
      </c>
      <c r="B1510" t="s">
        <v>9</v>
      </c>
      <c r="C1510">
        <v>109.02</v>
      </c>
      <c r="D1510">
        <v>110.68397</v>
      </c>
      <c r="E1510" s="1">
        <v>43586</v>
      </c>
      <c r="F1510">
        <f t="shared" si="46"/>
        <v>5</v>
      </c>
      <c r="G1510">
        <f t="shared" si="47"/>
        <v>2019</v>
      </c>
    </row>
    <row r="1511" spans="1:7" x14ac:dyDescent="0.25">
      <c r="A1511" t="s">
        <v>12</v>
      </c>
      <c r="B1511" t="s">
        <v>9</v>
      </c>
      <c r="C1511">
        <v>108.75</v>
      </c>
      <c r="D1511">
        <v>105.98827</v>
      </c>
      <c r="E1511" s="1">
        <v>43617</v>
      </c>
      <c r="F1511">
        <f t="shared" si="46"/>
        <v>6</v>
      </c>
      <c r="G1511">
        <f t="shared" si="47"/>
        <v>2019</v>
      </c>
    </row>
    <row r="1512" spans="1:7" x14ac:dyDescent="0.25">
      <c r="A1512" t="s">
        <v>12</v>
      </c>
      <c r="B1512" t="s">
        <v>9</v>
      </c>
      <c r="C1512">
        <v>108.48</v>
      </c>
      <c r="D1512">
        <v>110.78194000000001</v>
      </c>
      <c r="E1512" s="1">
        <v>43647</v>
      </c>
      <c r="F1512">
        <f t="shared" si="46"/>
        <v>7</v>
      </c>
      <c r="G1512">
        <f t="shared" si="47"/>
        <v>2019</v>
      </c>
    </row>
    <row r="1513" spans="1:7" x14ac:dyDescent="0.25">
      <c r="A1513" t="s">
        <v>12</v>
      </c>
      <c r="B1513" t="s">
        <v>9</v>
      </c>
      <c r="C1513">
        <v>108.73</v>
      </c>
      <c r="D1513">
        <v>108.22596</v>
      </c>
      <c r="E1513" s="1">
        <v>43678</v>
      </c>
      <c r="F1513">
        <f t="shared" si="46"/>
        <v>8</v>
      </c>
      <c r="G1513">
        <f t="shared" si="47"/>
        <v>2019</v>
      </c>
    </row>
    <row r="1514" spans="1:7" x14ac:dyDescent="0.25">
      <c r="A1514" t="s">
        <v>12</v>
      </c>
      <c r="B1514" t="s">
        <v>9</v>
      </c>
      <c r="C1514">
        <v>111.53</v>
      </c>
      <c r="D1514">
        <v>112.30698</v>
      </c>
      <c r="E1514" s="1">
        <v>43709</v>
      </c>
      <c r="F1514">
        <f t="shared" si="46"/>
        <v>9</v>
      </c>
      <c r="G1514">
        <f t="shared" si="47"/>
        <v>2019</v>
      </c>
    </row>
    <row r="1515" spans="1:7" x14ac:dyDescent="0.25">
      <c r="A1515" t="s">
        <v>12</v>
      </c>
      <c r="B1515" t="s">
        <v>9</v>
      </c>
      <c r="C1515">
        <v>112.14</v>
      </c>
      <c r="D1515">
        <v>114.97557999999999</v>
      </c>
      <c r="E1515" s="1">
        <v>43739</v>
      </c>
      <c r="F1515">
        <f t="shared" si="46"/>
        <v>10</v>
      </c>
      <c r="G1515">
        <f t="shared" si="47"/>
        <v>2019</v>
      </c>
    </row>
    <row r="1516" spans="1:7" x14ac:dyDescent="0.25">
      <c r="A1516" t="s">
        <v>12</v>
      </c>
      <c r="B1516" t="s">
        <v>9</v>
      </c>
      <c r="C1516">
        <v>110.89</v>
      </c>
      <c r="D1516">
        <v>116.36729</v>
      </c>
      <c r="E1516" s="1">
        <v>43770</v>
      </c>
      <c r="F1516">
        <f t="shared" si="46"/>
        <v>11</v>
      </c>
      <c r="G1516">
        <f t="shared" si="47"/>
        <v>2019</v>
      </c>
    </row>
    <row r="1517" spans="1:7" x14ac:dyDescent="0.25">
      <c r="A1517" t="s">
        <v>12</v>
      </c>
      <c r="B1517" t="s">
        <v>9</v>
      </c>
      <c r="C1517">
        <v>107.08</v>
      </c>
      <c r="D1517">
        <v>122.62264</v>
      </c>
      <c r="E1517" s="1">
        <v>43800</v>
      </c>
      <c r="F1517">
        <f t="shared" si="46"/>
        <v>12</v>
      </c>
      <c r="G1517">
        <f t="shared" si="47"/>
        <v>2019</v>
      </c>
    </row>
    <row r="1518" spans="1:7" x14ac:dyDescent="0.25">
      <c r="A1518" t="s">
        <v>12</v>
      </c>
      <c r="B1518" t="s">
        <v>9</v>
      </c>
      <c r="C1518">
        <v>105.6</v>
      </c>
      <c r="D1518">
        <v>97.828689999999995</v>
      </c>
      <c r="E1518" s="1">
        <v>43831</v>
      </c>
      <c r="F1518">
        <f t="shared" si="46"/>
        <v>1</v>
      </c>
      <c r="G1518">
        <f t="shared" si="47"/>
        <v>2020</v>
      </c>
    </row>
    <row r="1519" spans="1:7" x14ac:dyDescent="0.25">
      <c r="A1519" t="s">
        <v>12</v>
      </c>
      <c r="B1519" t="s">
        <v>9</v>
      </c>
      <c r="C1519">
        <v>106.28</v>
      </c>
      <c r="D1519">
        <v>93.274180000000001</v>
      </c>
      <c r="E1519" s="1">
        <v>43862</v>
      </c>
      <c r="F1519">
        <f t="shared" si="46"/>
        <v>2</v>
      </c>
      <c r="G1519">
        <f t="shared" si="47"/>
        <v>2020</v>
      </c>
    </row>
    <row r="1520" spans="1:7" x14ac:dyDescent="0.25">
      <c r="A1520" t="s">
        <v>12</v>
      </c>
      <c r="B1520" t="s">
        <v>9</v>
      </c>
      <c r="C1520">
        <v>96.28</v>
      </c>
      <c r="D1520">
        <v>93.739810000000006</v>
      </c>
      <c r="E1520" s="1">
        <v>43891</v>
      </c>
      <c r="F1520">
        <f t="shared" si="46"/>
        <v>3</v>
      </c>
      <c r="G1520">
        <f t="shared" si="47"/>
        <v>2020</v>
      </c>
    </row>
    <row r="1521" spans="1:7" x14ac:dyDescent="0.25">
      <c r="A1521" t="s">
        <v>12</v>
      </c>
      <c r="B1521" t="s">
        <v>9</v>
      </c>
      <c r="C1521">
        <v>85.47</v>
      </c>
      <c r="D1521">
        <v>82.884219999999999</v>
      </c>
      <c r="E1521" s="1">
        <v>43922</v>
      </c>
      <c r="F1521">
        <f t="shared" si="46"/>
        <v>4</v>
      </c>
      <c r="G1521">
        <f t="shared" si="47"/>
        <v>2020</v>
      </c>
    </row>
    <row r="1522" spans="1:7" x14ac:dyDescent="0.25">
      <c r="A1522" t="s">
        <v>12</v>
      </c>
      <c r="B1522" t="s">
        <v>9</v>
      </c>
      <c r="C1522">
        <v>79.56</v>
      </c>
      <c r="D1522">
        <v>79.200509999999994</v>
      </c>
      <c r="E1522" s="1">
        <v>43952</v>
      </c>
      <c r="F1522">
        <f t="shared" si="46"/>
        <v>5</v>
      </c>
      <c r="G1522">
        <f t="shared" si="47"/>
        <v>2020</v>
      </c>
    </row>
    <row r="1523" spans="1:7" x14ac:dyDescent="0.25">
      <c r="A1523" t="s">
        <v>12</v>
      </c>
      <c r="B1523" t="s">
        <v>9</v>
      </c>
      <c r="C1523">
        <v>81.38</v>
      </c>
      <c r="D1523">
        <v>81.417559999999995</v>
      </c>
      <c r="E1523" s="1">
        <v>43983</v>
      </c>
      <c r="F1523">
        <f t="shared" si="46"/>
        <v>6</v>
      </c>
      <c r="G1523">
        <f t="shared" si="47"/>
        <v>2020</v>
      </c>
    </row>
    <row r="1524" spans="1:7" x14ac:dyDescent="0.25">
      <c r="A1524" t="s">
        <v>12</v>
      </c>
      <c r="B1524" t="s">
        <v>9</v>
      </c>
      <c r="C1524">
        <v>83.62</v>
      </c>
      <c r="D1524">
        <v>85.364450000000005</v>
      </c>
      <c r="E1524" s="1">
        <v>44013</v>
      </c>
      <c r="F1524">
        <f t="shared" si="46"/>
        <v>7</v>
      </c>
      <c r="G1524">
        <f t="shared" si="47"/>
        <v>2020</v>
      </c>
    </row>
    <row r="1525" spans="1:7" x14ac:dyDescent="0.25">
      <c r="A1525" t="s">
        <v>12</v>
      </c>
      <c r="B1525" t="s">
        <v>9</v>
      </c>
      <c r="C1525">
        <v>86.14</v>
      </c>
      <c r="D1525">
        <v>85.005260000000007</v>
      </c>
      <c r="E1525" s="1">
        <v>44044</v>
      </c>
      <c r="F1525">
        <f t="shared" si="46"/>
        <v>8</v>
      </c>
      <c r="G1525">
        <f t="shared" si="47"/>
        <v>2020</v>
      </c>
    </row>
    <row r="1526" spans="1:7" x14ac:dyDescent="0.25">
      <c r="A1526" t="s">
        <v>12</v>
      </c>
      <c r="B1526" t="s">
        <v>9</v>
      </c>
      <c r="C1526">
        <v>87.76</v>
      </c>
      <c r="D1526">
        <v>88.619640000000004</v>
      </c>
      <c r="E1526" s="1">
        <v>44075</v>
      </c>
      <c r="F1526">
        <f t="shared" si="46"/>
        <v>9</v>
      </c>
      <c r="G1526">
        <f t="shared" si="47"/>
        <v>2020</v>
      </c>
    </row>
    <row r="1527" spans="1:7" x14ac:dyDescent="0.25">
      <c r="A1527" t="s">
        <v>12</v>
      </c>
      <c r="B1527" t="s">
        <v>9</v>
      </c>
      <c r="C1527">
        <v>89.51</v>
      </c>
      <c r="D1527">
        <v>92.070350000000005</v>
      </c>
      <c r="E1527" s="1">
        <v>44105</v>
      </c>
      <c r="F1527">
        <f t="shared" si="46"/>
        <v>10</v>
      </c>
      <c r="G1527">
        <f t="shared" si="47"/>
        <v>2020</v>
      </c>
    </row>
    <row r="1528" spans="1:7" x14ac:dyDescent="0.25">
      <c r="A1528" t="s">
        <v>12</v>
      </c>
      <c r="B1528" t="s">
        <v>9</v>
      </c>
      <c r="C1528">
        <v>89.19</v>
      </c>
      <c r="D1528">
        <v>94.386250000000004</v>
      </c>
      <c r="E1528" s="1">
        <v>44136</v>
      </c>
      <c r="F1528">
        <f t="shared" si="46"/>
        <v>11</v>
      </c>
      <c r="G1528">
        <f t="shared" si="47"/>
        <v>2020</v>
      </c>
    </row>
    <row r="1529" spans="1:7" x14ac:dyDescent="0.25">
      <c r="A1529" t="s">
        <v>12</v>
      </c>
      <c r="B1529" t="s">
        <v>9</v>
      </c>
      <c r="C1529">
        <v>88.03</v>
      </c>
      <c r="D1529">
        <v>103.59912</v>
      </c>
      <c r="E1529" s="1">
        <v>44166</v>
      </c>
      <c r="F1529">
        <f t="shared" si="46"/>
        <v>12</v>
      </c>
      <c r="G1529">
        <f t="shared" si="47"/>
        <v>2020</v>
      </c>
    </row>
    <row r="1530" spans="1:7" x14ac:dyDescent="0.25">
      <c r="A1530" t="s">
        <v>12</v>
      </c>
      <c r="B1530" t="s">
        <v>9</v>
      </c>
      <c r="C1530">
        <v>92.39</v>
      </c>
      <c r="D1530">
        <v>83.510019999999997</v>
      </c>
      <c r="E1530" s="1">
        <v>44197</v>
      </c>
      <c r="F1530">
        <f t="shared" si="46"/>
        <v>1</v>
      </c>
      <c r="G1530">
        <f t="shared" si="47"/>
        <v>2021</v>
      </c>
    </row>
    <row r="1531" spans="1:7" x14ac:dyDescent="0.25">
      <c r="A1531" t="s">
        <v>12</v>
      </c>
      <c r="B1531" t="s">
        <v>9</v>
      </c>
      <c r="C1531">
        <v>98.43</v>
      </c>
      <c r="D1531">
        <v>87.147900000000007</v>
      </c>
      <c r="E1531" s="1">
        <v>44228</v>
      </c>
      <c r="F1531">
        <f t="shared" si="46"/>
        <v>2</v>
      </c>
      <c r="G1531">
        <f t="shared" si="47"/>
        <v>2021</v>
      </c>
    </row>
    <row r="1532" spans="1:7" x14ac:dyDescent="0.25">
      <c r="A1532" t="s">
        <v>12</v>
      </c>
      <c r="B1532" t="s">
        <v>9</v>
      </c>
      <c r="C1532">
        <v>90.16</v>
      </c>
      <c r="D1532">
        <v>89.741200000000006</v>
      </c>
      <c r="E1532" s="1">
        <v>44256</v>
      </c>
      <c r="F1532">
        <f t="shared" si="46"/>
        <v>3</v>
      </c>
      <c r="G1532">
        <f t="shared" si="47"/>
        <v>2021</v>
      </c>
    </row>
    <row r="1533" spans="1:7" x14ac:dyDescent="0.25">
      <c r="A1533" t="s">
        <v>12</v>
      </c>
      <c r="B1533" t="s">
        <v>9</v>
      </c>
      <c r="C1533">
        <v>91.05</v>
      </c>
      <c r="D1533">
        <v>88.929479999999998</v>
      </c>
      <c r="E1533" s="1">
        <v>44287</v>
      </c>
      <c r="F1533">
        <f t="shared" si="46"/>
        <v>4</v>
      </c>
      <c r="G1533">
        <f t="shared" si="47"/>
        <v>2021</v>
      </c>
    </row>
    <row r="1534" spans="1:7" x14ac:dyDescent="0.25">
      <c r="A1534" t="s">
        <v>12</v>
      </c>
      <c r="B1534" t="s">
        <v>9</v>
      </c>
      <c r="C1534">
        <v>92.29</v>
      </c>
      <c r="D1534">
        <v>91.41825</v>
      </c>
      <c r="E1534" s="1">
        <v>44317</v>
      </c>
      <c r="F1534">
        <f t="shared" si="46"/>
        <v>5</v>
      </c>
      <c r="G1534">
        <f t="shared" si="47"/>
        <v>2021</v>
      </c>
    </row>
    <row r="1535" spans="1:7" x14ac:dyDescent="0.25">
      <c r="A1535" t="s">
        <v>12</v>
      </c>
      <c r="B1535" t="s">
        <v>9</v>
      </c>
      <c r="C1535">
        <v>93.03</v>
      </c>
      <c r="D1535">
        <v>92.589190000000002</v>
      </c>
      <c r="E1535" s="1">
        <v>44348</v>
      </c>
      <c r="F1535">
        <f t="shared" si="46"/>
        <v>6</v>
      </c>
      <c r="G1535">
        <f t="shared" si="47"/>
        <v>2021</v>
      </c>
    </row>
    <row r="1536" spans="1:7" x14ac:dyDescent="0.25">
      <c r="A1536" t="s">
        <v>12</v>
      </c>
      <c r="B1536" t="s">
        <v>9</v>
      </c>
      <c r="C1536">
        <v>95.15</v>
      </c>
      <c r="D1536">
        <v>95.747550000000004</v>
      </c>
      <c r="E1536" s="1">
        <v>44378</v>
      </c>
      <c r="F1536">
        <f t="shared" si="46"/>
        <v>7</v>
      </c>
      <c r="G1536">
        <f t="shared" si="47"/>
        <v>2021</v>
      </c>
    </row>
    <row r="1537" spans="1:7" x14ac:dyDescent="0.25">
      <c r="A1537" t="s">
        <v>12</v>
      </c>
      <c r="B1537" t="s">
        <v>9</v>
      </c>
      <c r="C1537">
        <v>93.61</v>
      </c>
      <c r="D1537">
        <v>92.843379999999996</v>
      </c>
      <c r="E1537" s="1">
        <v>44409</v>
      </c>
      <c r="F1537">
        <f t="shared" si="46"/>
        <v>8</v>
      </c>
      <c r="G1537">
        <f t="shared" si="47"/>
        <v>2021</v>
      </c>
    </row>
    <row r="1538" spans="1:7" x14ac:dyDescent="0.25">
      <c r="A1538" t="s">
        <v>12</v>
      </c>
      <c r="B1538" t="s">
        <v>9</v>
      </c>
      <c r="C1538">
        <v>94.59</v>
      </c>
      <c r="D1538">
        <v>95.475380000000001</v>
      </c>
      <c r="E1538" s="1">
        <v>44440</v>
      </c>
      <c r="F1538">
        <f t="shared" ref="F1538:F1601" si="48">MONTH(E1538)</f>
        <v>9</v>
      </c>
      <c r="G1538">
        <f t="shared" ref="G1538:G1601" si="49">YEAR(E1538)</f>
        <v>2021</v>
      </c>
    </row>
    <row r="1539" spans="1:7" x14ac:dyDescent="0.25">
      <c r="A1539" t="s">
        <v>12</v>
      </c>
      <c r="B1539" t="s">
        <v>9</v>
      </c>
      <c r="C1539">
        <v>92.7</v>
      </c>
      <c r="D1539">
        <v>93.78586</v>
      </c>
      <c r="E1539" s="1">
        <v>44470</v>
      </c>
      <c r="F1539">
        <f t="shared" si="48"/>
        <v>10</v>
      </c>
      <c r="G1539">
        <f t="shared" si="49"/>
        <v>2021</v>
      </c>
    </row>
    <row r="1540" spans="1:7" x14ac:dyDescent="0.25">
      <c r="A1540" t="s">
        <v>12</v>
      </c>
      <c r="B1540" t="s">
        <v>9</v>
      </c>
      <c r="C1540">
        <v>92.49</v>
      </c>
      <c r="D1540">
        <v>98.751850000000005</v>
      </c>
      <c r="E1540" s="1">
        <v>44501</v>
      </c>
      <c r="F1540">
        <f t="shared" si="48"/>
        <v>11</v>
      </c>
      <c r="G1540">
        <f t="shared" si="49"/>
        <v>2021</v>
      </c>
    </row>
    <row r="1541" spans="1:7" x14ac:dyDescent="0.25">
      <c r="A1541" t="s">
        <v>12</v>
      </c>
      <c r="B1541" t="s">
        <v>9</v>
      </c>
      <c r="C1541">
        <v>95.69</v>
      </c>
      <c r="D1541">
        <v>112.31542</v>
      </c>
      <c r="E1541" s="1">
        <v>44531</v>
      </c>
      <c r="F1541">
        <f t="shared" si="48"/>
        <v>12</v>
      </c>
      <c r="G1541">
        <f t="shared" si="49"/>
        <v>2021</v>
      </c>
    </row>
    <row r="1542" spans="1:7" x14ac:dyDescent="0.25">
      <c r="A1542" t="s">
        <v>12</v>
      </c>
      <c r="B1542" t="s">
        <v>9</v>
      </c>
      <c r="C1542">
        <v>99.28</v>
      </c>
      <c r="D1542">
        <v>91.158270000000002</v>
      </c>
      <c r="E1542" s="1">
        <v>44562</v>
      </c>
      <c r="F1542">
        <f t="shared" si="48"/>
        <v>1</v>
      </c>
      <c r="G1542">
        <f t="shared" si="49"/>
        <v>2022</v>
      </c>
    </row>
    <row r="1543" spans="1:7" x14ac:dyDescent="0.25">
      <c r="A1543" t="s">
        <v>12</v>
      </c>
      <c r="B1543" t="s">
        <v>9</v>
      </c>
      <c r="C1543">
        <v>102.47</v>
      </c>
      <c r="D1543">
        <v>91.085539999999995</v>
      </c>
      <c r="E1543" s="1">
        <v>44593</v>
      </c>
      <c r="F1543">
        <f t="shared" si="48"/>
        <v>2</v>
      </c>
      <c r="G1543">
        <f t="shared" si="49"/>
        <v>2022</v>
      </c>
    </row>
    <row r="1544" spans="1:7" x14ac:dyDescent="0.25">
      <c r="A1544" t="s">
        <v>12</v>
      </c>
      <c r="B1544" t="s">
        <v>9</v>
      </c>
      <c r="C1544">
        <v>97.98</v>
      </c>
      <c r="D1544">
        <v>97.280289999999994</v>
      </c>
      <c r="E1544" s="1">
        <v>44621</v>
      </c>
      <c r="F1544">
        <f t="shared" si="48"/>
        <v>3</v>
      </c>
      <c r="G1544">
        <f t="shared" si="49"/>
        <v>2022</v>
      </c>
    </row>
    <row r="1545" spans="1:7" x14ac:dyDescent="0.25">
      <c r="A1545" t="s">
        <v>12</v>
      </c>
      <c r="B1545" t="s">
        <v>9</v>
      </c>
      <c r="C1545">
        <v>98.86</v>
      </c>
      <c r="D1545">
        <v>96.265919999999994</v>
      </c>
      <c r="E1545" s="1">
        <v>44652</v>
      </c>
      <c r="F1545">
        <f t="shared" si="48"/>
        <v>4</v>
      </c>
      <c r="G1545">
        <f t="shared" si="49"/>
        <v>2022</v>
      </c>
    </row>
    <row r="1546" spans="1:7" x14ac:dyDescent="0.25">
      <c r="A1546" t="s">
        <v>12</v>
      </c>
      <c r="B1546" t="s">
        <v>9</v>
      </c>
      <c r="C1546">
        <v>100.13</v>
      </c>
      <c r="D1546">
        <v>98.484870000000001</v>
      </c>
      <c r="E1546" s="1">
        <v>44682</v>
      </c>
      <c r="F1546">
        <f t="shared" si="48"/>
        <v>5</v>
      </c>
      <c r="G1546">
        <f t="shared" si="49"/>
        <v>2022</v>
      </c>
    </row>
    <row r="1547" spans="1:7" x14ac:dyDescent="0.25">
      <c r="A1547" t="s">
        <v>12</v>
      </c>
      <c r="B1547" t="s">
        <v>9</v>
      </c>
      <c r="C1547">
        <v>101.25</v>
      </c>
      <c r="D1547">
        <v>101.21792000000001</v>
      </c>
      <c r="E1547" s="1">
        <v>44713</v>
      </c>
      <c r="F1547">
        <f t="shared" si="48"/>
        <v>6</v>
      </c>
      <c r="G1547">
        <f t="shared" si="49"/>
        <v>2022</v>
      </c>
    </row>
    <row r="1548" spans="1:7" x14ac:dyDescent="0.25">
      <c r="A1548" t="s">
        <v>12</v>
      </c>
      <c r="B1548" t="s">
        <v>9</v>
      </c>
      <c r="C1548">
        <v>99.8</v>
      </c>
      <c r="D1548">
        <v>99.09348</v>
      </c>
      <c r="E1548" s="1">
        <v>44743</v>
      </c>
      <c r="F1548">
        <f t="shared" si="48"/>
        <v>7</v>
      </c>
      <c r="G1548">
        <f t="shared" si="49"/>
        <v>2022</v>
      </c>
    </row>
    <row r="1549" spans="1:7" x14ac:dyDescent="0.25">
      <c r="A1549" t="s">
        <v>12</v>
      </c>
      <c r="B1549" t="s">
        <v>9</v>
      </c>
      <c r="C1549">
        <v>100.73</v>
      </c>
      <c r="D1549">
        <v>101.43836</v>
      </c>
      <c r="E1549" s="1">
        <v>44774</v>
      </c>
      <c r="F1549">
        <f t="shared" si="48"/>
        <v>8</v>
      </c>
      <c r="G1549">
        <f t="shared" si="49"/>
        <v>2022</v>
      </c>
    </row>
    <row r="1550" spans="1:7" x14ac:dyDescent="0.25">
      <c r="A1550" t="s">
        <v>12</v>
      </c>
      <c r="B1550" t="s">
        <v>9</v>
      </c>
      <c r="C1550">
        <v>98.72</v>
      </c>
      <c r="D1550">
        <v>100.15380999999999</v>
      </c>
      <c r="E1550" s="1">
        <v>44805</v>
      </c>
      <c r="F1550">
        <f t="shared" si="48"/>
        <v>9</v>
      </c>
      <c r="G1550">
        <f t="shared" si="49"/>
        <v>2022</v>
      </c>
    </row>
    <row r="1551" spans="1:7" x14ac:dyDescent="0.25">
      <c r="A1551" t="s">
        <v>12</v>
      </c>
      <c r="B1551" t="s">
        <v>9</v>
      </c>
      <c r="C1551">
        <v>98.96</v>
      </c>
      <c r="D1551">
        <v>100.09807000000001</v>
      </c>
      <c r="E1551" s="1">
        <v>44835</v>
      </c>
      <c r="F1551">
        <f t="shared" si="48"/>
        <v>10</v>
      </c>
      <c r="G1551">
        <f t="shared" si="49"/>
        <v>2022</v>
      </c>
    </row>
    <row r="1552" spans="1:7" x14ac:dyDescent="0.25">
      <c r="A1552" t="s">
        <v>12</v>
      </c>
      <c r="B1552" t="s">
        <v>9</v>
      </c>
      <c r="C1552">
        <v>99.75</v>
      </c>
      <c r="D1552">
        <v>105.24583</v>
      </c>
      <c r="E1552" s="1">
        <v>44866</v>
      </c>
      <c r="F1552">
        <f t="shared" si="48"/>
        <v>11</v>
      </c>
      <c r="G1552">
        <f t="shared" si="49"/>
        <v>2022</v>
      </c>
    </row>
    <row r="1553" spans="1:7" x14ac:dyDescent="0.25">
      <c r="A1553" t="s">
        <v>12</v>
      </c>
      <c r="B1553" t="s">
        <v>9</v>
      </c>
      <c r="C1553">
        <v>102.37</v>
      </c>
      <c r="D1553">
        <v>118.47765</v>
      </c>
      <c r="E1553" s="1">
        <v>44896</v>
      </c>
      <c r="F1553">
        <f t="shared" si="48"/>
        <v>12</v>
      </c>
      <c r="G1553">
        <f t="shared" si="49"/>
        <v>2022</v>
      </c>
    </row>
    <row r="1554" spans="1:7" x14ac:dyDescent="0.25">
      <c r="A1554" t="s">
        <v>12</v>
      </c>
      <c r="B1554" t="s">
        <v>9</v>
      </c>
      <c r="C1554">
        <v>101.19</v>
      </c>
      <c r="D1554">
        <v>93.521559999999994</v>
      </c>
      <c r="E1554" s="1">
        <v>44927</v>
      </c>
      <c r="F1554">
        <f t="shared" si="48"/>
        <v>1</v>
      </c>
      <c r="G1554">
        <f t="shared" si="49"/>
        <v>2023</v>
      </c>
    </row>
    <row r="1555" spans="1:7" x14ac:dyDescent="0.25">
      <c r="A1555" t="s">
        <v>12</v>
      </c>
      <c r="B1555" t="s">
        <v>9</v>
      </c>
      <c r="C1555">
        <v>100.17</v>
      </c>
      <c r="D1555">
        <v>88.694519999999997</v>
      </c>
      <c r="E1555" s="1">
        <v>44958</v>
      </c>
      <c r="F1555">
        <f t="shared" si="48"/>
        <v>2</v>
      </c>
      <c r="G1555">
        <f t="shared" si="49"/>
        <v>2023</v>
      </c>
    </row>
    <row r="1556" spans="1:7" x14ac:dyDescent="0.25">
      <c r="A1556" t="s">
        <v>12</v>
      </c>
      <c r="B1556" t="s">
        <v>9</v>
      </c>
      <c r="C1556">
        <v>102.14</v>
      </c>
      <c r="D1556">
        <v>103.13124000000001</v>
      </c>
      <c r="E1556" s="1">
        <v>44986</v>
      </c>
      <c r="F1556">
        <f t="shared" si="48"/>
        <v>3</v>
      </c>
      <c r="G1556">
        <f t="shared" si="49"/>
        <v>2023</v>
      </c>
    </row>
    <row r="1557" spans="1:7" x14ac:dyDescent="0.25">
      <c r="A1557" t="s">
        <v>12</v>
      </c>
      <c r="B1557" t="s">
        <v>9</v>
      </c>
      <c r="C1557">
        <v>102.7</v>
      </c>
      <c r="D1557">
        <v>98.128919999999994</v>
      </c>
      <c r="E1557" s="1">
        <v>45017</v>
      </c>
      <c r="F1557">
        <f t="shared" si="48"/>
        <v>4</v>
      </c>
      <c r="G1557">
        <f t="shared" si="49"/>
        <v>2023</v>
      </c>
    </row>
    <row r="1558" spans="1:7" x14ac:dyDescent="0.25">
      <c r="A1558" t="s">
        <v>12</v>
      </c>
      <c r="B1558" t="s">
        <v>9</v>
      </c>
      <c r="C1558">
        <v>99.86</v>
      </c>
      <c r="D1558">
        <v>98.628200000000007</v>
      </c>
      <c r="E1558" s="1">
        <v>45047</v>
      </c>
      <c r="F1558">
        <f t="shared" si="48"/>
        <v>5</v>
      </c>
      <c r="G1558">
        <f t="shared" si="49"/>
        <v>2023</v>
      </c>
    </row>
    <row r="1559" spans="1:7" x14ac:dyDescent="0.25">
      <c r="A1559" t="s">
        <v>12</v>
      </c>
      <c r="B1559" t="s">
        <v>9</v>
      </c>
      <c r="C1559">
        <v>100.71</v>
      </c>
      <c r="D1559">
        <v>101.43096</v>
      </c>
      <c r="E1559" s="1">
        <v>45078</v>
      </c>
      <c r="F1559">
        <f t="shared" si="48"/>
        <v>6</v>
      </c>
      <c r="G1559">
        <f t="shared" si="49"/>
        <v>2023</v>
      </c>
    </row>
    <row r="1560" spans="1:7" x14ac:dyDescent="0.25">
      <c r="A1560" t="s">
        <v>12</v>
      </c>
      <c r="B1560" t="s">
        <v>9</v>
      </c>
      <c r="C1560">
        <v>100.75</v>
      </c>
      <c r="D1560">
        <v>100.09884</v>
      </c>
      <c r="E1560" s="1">
        <v>45108</v>
      </c>
      <c r="F1560">
        <f t="shared" si="48"/>
        <v>7</v>
      </c>
      <c r="G1560">
        <f t="shared" si="49"/>
        <v>2023</v>
      </c>
    </row>
    <row r="1561" spans="1:7" x14ac:dyDescent="0.25">
      <c r="A1561" t="s">
        <v>12</v>
      </c>
      <c r="B1561" t="s">
        <v>9</v>
      </c>
      <c r="C1561">
        <v>112.12</v>
      </c>
      <c r="D1561">
        <v>111.82778999999999</v>
      </c>
      <c r="E1561" s="1">
        <v>45139</v>
      </c>
      <c r="F1561">
        <f t="shared" si="48"/>
        <v>8</v>
      </c>
      <c r="G1561">
        <f t="shared" si="49"/>
        <v>2023</v>
      </c>
    </row>
    <row r="1562" spans="1:7" x14ac:dyDescent="0.25">
      <c r="A1562" t="s">
        <v>12</v>
      </c>
      <c r="B1562" t="s">
        <v>9</v>
      </c>
      <c r="C1562">
        <v>106.8</v>
      </c>
      <c r="D1562">
        <v>107.85603</v>
      </c>
      <c r="E1562" s="1">
        <v>45170</v>
      </c>
      <c r="F1562">
        <f t="shared" si="48"/>
        <v>9</v>
      </c>
      <c r="G1562">
        <f t="shared" si="49"/>
        <v>2023</v>
      </c>
    </row>
    <row r="1563" spans="1:7" x14ac:dyDescent="0.25">
      <c r="A1563" t="s">
        <v>12</v>
      </c>
      <c r="B1563" t="s">
        <v>9</v>
      </c>
      <c r="C1563">
        <v>111.97</v>
      </c>
      <c r="D1563">
        <v>113.43781</v>
      </c>
      <c r="E1563" s="1">
        <v>45200</v>
      </c>
      <c r="F1563">
        <f t="shared" si="48"/>
        <v>10</v>
      </c>
      <c r="G1563">
        <f t="shared" si="49"/>
        <v>2023</v>
      </c>
    </row>
    <row r="1564" spans="1:7" x14ac:dyDescent="0.25">
      <c r="A1564" t="s">
        <v>12</v>
      </c>
      <c r="B1564" t="s">
        <v>9</v>
      </c>
      <c r="C1564">
        <v>114.6</v>
      </c>
      <c r="D1564">
        <v>120.34742</v>
      </c>
      <c r="E1564" s="1">
        <v>45231</v>
      </c>
      <c r="F1564">
        <f t="shared" si="48"/>
        <v>11</v>
      </c>
      <c r="G1564">
        <f t="shared" si="49"/>
        <v>2023</v>
      </c>
    </row>
    <row r="1565" spans="1:7" x14ac:dyDescent="0.25">
      <c r="A1565" t="s">
        <v>12</v>
      </c>
      <c r="B1565" t="s">
        <v>9</v>
      </c>
      <c r="C1565">
        <v>113.54</v>
      </c>
      <c r="D1565">
        <v>128.80306999999999</v>
      </c>
      <c r="E1565" s="1">
        <v>45261</v>
      </c>
      <c r="F1565">
        <f t="shared" si="48"/>
        <v>12</v>
      </c>
      <c r="G1565">
        <f t="shared" si="49"/>
        <v>2023</v>
      </c>
    </row>
    <row r="1566" spans="1:7" x14ac:dyDescent="0.25">
      <c r="A1566" t="s">
        <v>12</v>
      </c>
      <c r="B1566" t="s">
        <v>9</v>
      </c>
      <c r="C1566">
        <v>114.42</v>
      </c>
      <c r="D1566">
        <v>107.9526</v>
      </c>
      <c r="E1566" s="1">
        <v>45292</v>
      </c>
      <c r="F1566">
        <f t="shared" si="48"/>
        <v>1</v>
      </c>
      <c r="G1566">
        <f t="shared" si="49"/>
        <v>2024</v>
      </c>
    </row>
    <row r="1567" spans="1:7" x14ac:dyDescent="0.25">
      <c r="A1567" t="s">
        <v>12</v>
      </c>
      <c r="B1567" t="s">
        <v>9</v>
      </c>
      <c r="C1567">
        <v>115.63</v>
      </c>
      <c r="D1567">
        <v>102.67582</v>
      </c>
      <c r="E1567" s="1">
        <v>45323</v>
      </c>
      <c r="F1567">
        <f t="shared" si="48"/>
        <v>2</v>
      </c>
      <c r="G1567">
        <f t="shared" si="49"/>
        <v>2024</v>
      </c>
    </row>
    <row r="1568" spans="1:7" x14ac:dyDescent="0.25">
      <c r="A1568" t="s">
        <v>12</v>
      </c>
      <c r="B1568" t="s">
        <v>9</v>
      </c>
      <c r="C1568">
        <v>117.96</v>
      </c>
      <c r="D1568">
        <v>116.34799</v>
      </c>
      <c r="E1568" s="1">
        <v>45352</v>
      </c>
      <c r="F1568">
        <f t="shared" si="48"/>
        <v>3</v>
      </c>
      <c r="G1568">
        <f t="shared" si="49"/>
        <v>2024</v>
      </c>
    </row>
    <row r="1569" spans="1:7" x14ac:dyDescent="0.25">
      <c r="A1569" t="s">
        <v>12</v>
      </c>
      <c r="B1569" t="s">
        <v>9</v>
      </c>
      <c r="C1569">
        <v>115.54</v>
      </c>
      <c r="D1569">
        <v>114.88209999999999</v>
      </c>
      <c r="E1569" s="1">
        <v>45383</v>
      </c>
      <c r="F1569">
        <f t="shared" si="48"/>
        <v>4</v>
      </c>
      <c r="G1569">
        <f t="shared" si="49"/>
        <v>2024</v>
      </c>
    </row>
    <row r="1570" spans="1:7" x14ac:dyDescent="0.25">
      <c r="A1570" t="s">
        <v>12</v>
      </c>
      <c r="B1570" t="s">
        <v>9</v>
      </c>
      <c r="C1570">
        <v>115.61</v>
      </c>
      <c r="D1570">
        <v>112.75922</v>
      </c>
      <c r="E1570" s="1">
        <v>45413</v>
      </c>
      <c r="F1570">
        <f t="shared" si="48"/>
        <v>5</v>
      </c>
      <c r="G1570">
        <f t="shared" si="49"/>
        <v>2024</v>
      </c>
    </row>
    <row r="1571" spans="1:7" x14ac:dyDescent="0.25">
      <c r="A1571" t="s">
        <v>12</v>
      </c>
      <c r="B1571" t="s">
        <v>9</v>
      </c>
      <c r="C1571">
        <v>118.12</v>
      </c>
      <c r="D1571">
        <v>117.31310000000001</v>
      </c>
      <c r="E1571" s="1">
        <v>45444</v>
      </c>
      <c r="F1571">
        <f t="shared" si="48"/>
        <v>6</v>
      </c>
      <c r="G1571">
        <f t="shared" si="49"/>
        <v>2024</v>
      </c>
    </row>
    <row r="1572" spans="1:7" x14ac:dyDescent="0.25">
      <c r="A1572" t="s">
        <v>12</v>
      </c>
      <c r="B1572" t="s">
        <v>9</v>
      </c>
      <c r="C1572">
        <v>116.8</v>
      </c>
      <c r="D1572">
        <v>117.57801000000001</v>
      </c>
      <c r="E1572" s="1">
        <v>45474</v>
      </c>
      <c r="F1572">
        <f t="shared" si="48"/>
        <v>7</v>
      </c>
      <c r="G1572">
        <f t="shared" si="49"/>
        <v>2024</v>
      </c>
    </row>
    <row r="1573" spans="1:7" x14ac:dyDescent="0.25">
      <c r="A1573" t="s">
        <v>12</v>
      </c>
      <c r="B1573" t="s">
        <v>9</v>
      </c>
      <c r="C1573">
        <v>117.56</v>
      </c>
      <c r="D1573">
        <v>117.68250999999999</v>
      </c>
      <c r="E1573" s="1">
        <v>45505</v>
      </c>
      <c r="F1573">
        <f t="shared" si="48"/>
        <v>8</v>
      </c>
      <c r="G1573">
        <f t="shared" si="49"/>
        <v>2024</v>
      </c>
    </row>
    <row r="1574" spans="1:7" x14ac:dyDescent="0.25">
      <c r="A1574" t="s">
        <v>12</v>
      </c>
      <c r="B1574" t="s">
        <v>9</v>
      </c>
      <c r="C1574">
        <v>120.32</v>
      </c>
      <c r="D1574">
        <v>121.06901000000001</v>
      </c>
      <c r="E1574" s="1">
        <v>45536</v>
      </c>
      <c r="F1574">
        <f t="shared" si="48"/>
        <v>9</v>
      </c>
      <c r="G1574">
        <f t="shared" si="49"/>
        <v>2024</v>
      </c>
    </row>
    <row r="1575" spans="1:7" x14ac:dyDescent="0.25">
      <c r="A1575" t="s">
        <v>12</v>
      </c>
      <c r="B1575" t="s">
        <v>9</v>
      </c>
      <c r="C1575">
        <v>125.18</v>
      </c>
      <c r="D1575">
        <v>127.06708</v>
      </c>
      <c r="E1575" s="1">
        <v>45566</v>
      </c>
      <c r="F1575">
        <f t="shared" si="48"/>
        <v>10</v>
      </c>
      <c r="G1575">
        <f t="shared" si="49"/>
        <v>2024</v>
      </c>
    </row>
    <row r="1576" spans="1:7" x14ac:dyDescent="0.25">
      <c r="A1576" t="s">
        <v>12</v>
      </c>
      <c r="B1576" t="s">
        <v>9</v>
      </c>
      <c r="C1576">
        <v>120.54</v>
      </c>
      <c r="D1576">
        <v>126.79261</v>
      </c>
      <c r="E1576" s="1">
        <v>45597</v>
      </c>
      <c r="F1576">
        <f t="shared" si="48"/>
        <v>11</v>
      </c>
      <c r="G1576">
        <f t="shared" si="49"/>
        <v>2024</v>
      </c>
    </row>
    <row r="1577" spans="1:7" x14ac:dyDescent="0.25">
      <c r="A1577" t="s">
        <v>12</v>
      </c>
      <c r="B1577" t="s">
        <v>9</v>
      </c>
      <c r="C1577">
        <v>120.29</v>
      </c>
      <c r="D1577">
        <v>136.06507999999999</v>
      </c>
      <c r="E1577" s="1">
        <v>45627</v>
      </c>
      <c r="F1577">
        <f t="shared" si="48"/>
        <v>12</v>
      </c>
      <c r="G1577">
        <f t="shared" si="49"/>
        <v>2024</v>
      </c>
    </row>
    <row r="1578" spans="1:7" x14ac:dyDescent="0.25">
      <c r="A1578" t="s">
        <v>12</v>
      </c>
      <c r="B1578" t="s">
        <v>9</v>
      </c>
      <c r="C1578">
        <v>120.11</v>
      </c>
      <c r="D1578">
        <v>113.21109</v>
      </c>
      <c r="E1578" s="1">
        <v>45658</v>
      </c>
      <c r="F1578">
        <f t="shared" si="48"/>
        <v>1</v>
      </c>
      <c r="G1578">
        <f t="shared" si="49"/>
        <v>2025</v>
      </c>
    </row>
    <row r="1579" spans="1:7" x14ac:dyDescent="0.25">
      <c r="A1579" t="s">
        <v>12</v>
      </c>
      <c r="B1579" t="s">
        <v>9</v>
      </c>
      <c r="C1579">
        <v>120.98</v>
      </c>
      <c r="D1579">
        <v>110.44324</v>
      </c>
      <c r="E1579" s="1">
        <v>45689</v>
      </c>
      <c r="F1579">
        <f t="shared" si="48"/>
        <v>2</v>
      </c>
      <c r="G1579">
        <f t="shared" si="49"/>
        <v>2025</v>
      </c>
    </row>
    <row r="1580" spans="1:7" x14ac:dyDescent="0.25">
      <c r="A1580" t="s">
        <v>12</v>
      </c>
      <c r="B1580" t="s">
        <v>9</v>
      </c>
      <c r="C1580">
        <v>122.54</v>
      </c>
      <c r="D1580">
        <v>121.85437</v>
      </c>
      <c r="E1580" s="1">
        <v>45717</v>
      </c>
      <c r="F1580">
        <f t="shared" si="48"/>
        <v>3</v>
      </c>
      <c r="G1580">
        <f t="shared" si="49"/>
        <v>2025</v>
      </c>
    </row>
    <row r="1581" spans="1:7" x14ac:dyDescent="0.25">
      <c r="A1581" t="s">
        <v>12</v>
      </c>
      <c r="B1581" t="s">
        <v>9</v>
      </c>
      <c r="C1581">
        <v>122.9</v>
      </c>
      <c r="D1581">
        <v>119.77043999999999</v>
      </c>
      <c r="E1581" s="1">
        <v>45748</v>
      </c>
      <c r="F1581">
        <f t="shared" si="48"/>
        <v>4</v>
      </c>
      <c r="G1581">
        <f t="shared" si="49"/>
        <v>2025</v>
      </c>
    </row>
    <row r="1582" spans="1:7" x14ac:dyDescent="0.25">
      <c r="A1582" t="s">
        <v>12</v>
      </c>
      <c r="B1582" t="s">
        <v>9</v>
      </c>
      <c r="C1582">
        <v>124.09</v>
      </c>
      <c r="D1582">
        <v>121.09811000000001</v>
      </c>
      <c r="E1582" s="1">
        <v>45778</v>
      </c>
      <c r="F1582">
        <f t="shared" si="48"/>
        <v>5</v>
      </c>
      <c r="G1582">
        <f t="shared" si="49"/>
        <v>2025</v>
      </c>
    </row>
    <row r="1583" spans="1:7" x14ac:dyDescent="0.25">
      <c r="A1583" t="s">
        <v>12</v>
      </c>
      <c r="B1583" t="s">
        <v>9</v>
      </c>
      <c r="C1583">
        <v>125.04</v>
      </c>
      <c r="D1583">
        <v>124.87183</v>
      </c>
      <c r="E1583" s="1">
        <v>45809</v>
      </c>
      <c r="F1583">
        <f t="shared" si="48"/>
        <v>6</v>
      </c>
      <c r="G1583">
        <f t="shared" si="49"/>
        <v>2025</v>
      </c>
    </row>
    <row r="1584" spans="1:7" x14ac:dyDescent="0.25">
      <c r="A1584" t="s">
        <v>12</v>
      </c>
      <c r="B1584" t="s">
        <v>9</v>
      </c>
      <c r="C1584">
        <v>126.92</v>
      </c>
      <c r="D1584">
        <v>126.47145999999999</v>
      </c>
      <c r="E1584" s="1">
        <v>45839</v>
      </c>
      <c r="F1584">
        <f t="shared" si="48"/>
        <v>7</v>
      </c>
      <c r="G1584">
        <f t="shared" si="49"/>
        <v>2025</v>
      </c>
    </row>
    <row r="1585" spans="1:7" x14ac:dyDescent="0.25">
      <c r="A1585" t="s">
        <v>12</v>
      </c>
      <c r="B1585" t="s">
        <v>9</v>
      </c>
      <c r="C1585">
        <v>127.54</v>
      </c>
      <c r="D1585">
        <v>126.62820000000001</v>
      </c>
      <c r="E1585" s="1">
        <v>45870</v>
      </c>
      <c r="F1585">
        <f t="shared" si="48"/>
        <v>8</v>
      </c>
      <c r="G1585">
        <f t="shared" si="49"/>
        <v>2025</v>
      </c>
    </row>
    <row r="1586" spans="1:7" x14ac:dyDescent="0.25">
      <c r="A1586" t="s">
        <v>12</v>
      </c>
      <c r="B1586" t="s">
        <v>8</v>
      </c>
      <c r="C1586">
        <v>57.86</v>
      </c>
      <c r="D1586">
        <v>54.354689999999998</v>
      </c>
      <c r="E1586" s="1">
        <v>40544</v>
      </c>
      <c r="F1586">
        <f t="shared" si="48"/>
        <v>1</v>
      </c>
      <c r="G1586">
        <f t="shared" si="49"/>
        <v>2011</v>
      </c>
    </row>
    <row r="1587" spans="1:7" x14ac:dyDescent="0.25">
      <c r="A1587" t="s">
        <v>12</v>
      </c>
      <c r="B1587" t="s">
        <v>8</v>
      </c>
      <c r="C1587">
        <v>56.89</v>
      </c>
      <c r="D1587">
        <v>53.885449999999999</v>
      </c>
      <c r="E1587" s="1">
        <v>40575</v>
      </c>
      <c r="F1587">
        <f t="shared" si="48"/>
        <v>2</v>
      </c>
      <c r="G1587">
        <f t="shared" si="49"/>
        <v>2011</v>
      </c>
    </row>
    <row r="1588" spans="1:7" x14ac:dyDescent="0.25">
      <c r="A1588" t="s">
        <v>12</v>
      </c>
      <c r="B1588" t="s">
        <v>8</v>
      </c>
      <c r="C1588">
        <v>58.18</v>
      </c>
      <c r="D1588">
        <v>58.540959999999998</v>
      </c>
      <c r="E1588" s="1">
        <v>40603</v>
      </c>
      <c r="F1588">
        <f t="shared" si="48"/>
        <v>3</v>
      </c>
      <c r="G1588">
        <f t="shared" si="49"/>
        <v>2011</v>
      </c>
    </row>
    <row r="1589" spans="1:7" x14ac:dyDescent="0.25">
      <c r="A1589" t="s">
        <v>12</v>
      </c>
      <c r="B1589" t="s">
        <v>8</v>
      </c>
      <c r="C1589">
        <v>60.08</v>
      </c>
      <c r="D1589">
        <v>57.139429999999997</v>
      </c>
      <c r="E1589" s="1">
        <v>40634</v>
      </c>
      <c r="F1589">
        <f t="shared" si="48"/>
        <v>4</v>
      </c>
      <c r="G1589">
        <f t="shared" si="49"/>
        <v>2011</v>
      </c>
    </row>
    <row r="1590" spans="1:7" x14ac:dyDescent="0.25">
      <c r="A1590" t="s">
        <v>12</v>
      </c>
      <c r="B1590" t="s">
        <v>8</v>
      </c>
      <c r="C1590">
        <v>58.74</v>
      </c>
      <c r="D1590">
        <v>58.135629999999999</v>
      </c>
      <c r="E1590" s="1">
        <v>40664</v>
      </c>
      <c r="F1590">
        <f t="shared" si="48"/>
        <v>5</v>
      </c>
      <c r="G1590">
        <f t="shared" si="49"/>
        <v>2011</v>
      </c>
    </row>
    <row r="1591" spans="1:7" x14ac:dyDescent="0.25">
      <c r="A1591" t="s">
        <v>12</v>
      </c>
      <c r="B1591" t="s">
        <v>8</v>
      </c>
      <c r="C1591">
        <v>59.87</v>
      </c>
      <c r="D1591">
        <v>60.155239999999999</v>
      </c>
      <c r="E1591" s="1">
        <v>40695</v>
      </c>
      <c r="F1591">
        <f t="shared" si="48"/>
        <v>6</v>
      </c>
      <c r="G1591">
        <f t="shared" si="49"/>
        <v>2011</v>
      </c>
    </row>
    <row r="1592" spans="1:7" x14ac:dyDescent="0.25">
      <c r="A1592" t="s">
        <v>12</v>
      </c>
      <c r="B1592" t="s">
        <v>8</v>
      </c>
      <c r="C1592">
        <v>60.93</v>
      </c>
      <c r="D1592">
        <v>58.833069999999999</v>
      </c>
      <c r="E1592" s="1">
        <v>40725</v>
      </c>
      <c r="F1592">
        <f t="shared" si="48"/>
        <v>7</v>
      </c>
      <c r="G1592">
        <f t="shared" si="49"/>
        <v>2011</v>
      </c>
    </row>
    <row r="1593" spans="1:7" x14ac:dyDescent="0.25">
      <c r="A1593" t="s">
        <v>12</v>
      </c>
      <c r="B1593" t="s">
        <v>8</v>
      </c>
      <c r="C1593">
        <v>61.59</v>
      </c>
      <c r="D1593">
        <v>60.478050000000003</v>
      </c>
      <c r="E1593" s="1">
        <v>40756</v>
      </c>
      <c r="F1593">
        <f t="shared" si="48"/>
        <v>8</v>
      </c>
      <c r="G1593">
        <f t="shared" si="49"/>
        <v>2011</v>
      </c>
    </row>
    <row r="1594" spans="1:7" x14ac:dyDescent="0.25">
      <c r="A1594" t="s">
        <v>12</v>
      </c>
      <c r="B1594" t="s">
        <v>8</v>
      </c>
      <c r="C1594">
        <v>61.89</v>
      </c>
      <c r="D1594">
        <v>63.098030000000001</v>
      </c>
      <c r="E1594" s="1">
        <v>40787</v>
      </c>
      <c r="F1594">
        <f t="shared" si="48"/>
        <v>9</v>
      </c>
      <c r="G1594">
        <f t="shared" si="49"/>
        <v>2011</v>
      </c>
    </row>
    <row r="1595" spans="1:7" x14ac:dyDescent="0.25">
      <c r="A1595" t="s">
        <v>12</v>
      </c>
      <c r="B1595" t="s">
        <v>8</v>
      </c>
      <c r="C1595">
        <v>61.62</v>
      </c>
      <c r="D1595">
        <v>61.128230000000002</v>
      </c>
      <c r="E1595" s="1">
        <v>40817</v>
      </c>
      <c r="F1595">
        <f t="shared" si="48"/>
        <v>10</v>
      </c>
      <c r="G1595">
        <f t="shared" si="49"/>
        <v>2011</v>
      </c>
    </row>
    <row r="1596" spans="1:7" x14ac:dyDescent="0.25">
      <c r="A1596" t="s">
        <v>12</v>
      </c>
      <c r="B1596" t="s">
        <v>8</v>
      </c>
      <c r="C1596">
        <v>61.35</v>
      </c>
      <c r="D1596">
        <v>63.194400000000002</v>
      </c>
      <c r="E1596" s="1">
        <v>40848</v>
      </c>
      <c r="F1596">
        <f t="shared" si="48"/>
        <v>11</v>
      </c>
      <c r="G1596">
        <f t="shared" si="49"/>
        <v>2011</v>
      </c>
    </row>
    <row r="1597" spans="1:7" x14ac:dyDescent="0.25">
      <c r="A1597" t="s">
        <v>12</v>
      </c>
      <c r="B1597" t="s">
        <v>8</v>
      </c>
      <c r="C1597">
        <v>60.22</v>
      </c>
      <c r="D1597">
        <v>69.552049999999994</v>
      </c>
      <c r="E1597" s="1">
        <v>40878</v>
      </c>
      <c r="F1597">
        <f t="shared" si="48"/>
        <v>12</v>
      </c>
      <c r="G1597">
        <f t="shared" si="49"/>
        <v>2011</v>
      </c>
    </row>
    <row r="1598" spans="1:7" x14ac:dyDescent="0.25">
      <c r="A1598" t="s">
        <v>12</v>
      </c>
      <c r="B1598" t="s">
        <v>8</v>
      </c>
      <c r="C1598">
        <v>60.23</v>
      </c>
      <c r="D1598">
        <v>57.494709999999998</v>
      </c>
      <c r="E1598" s="1">
        <v>40909</v>
      </c>
      <c r="F1598">
        <f t="shared" si="48"/>
        <v>1</v>
      </c>
      <c r="G1598">
        <f t="shared" si="49"/>
        <v>2012</v>
      </c>
    </row>
    <row r="1599" spans="1:7" x14ac:dyDescent="0.25">
      <c r="A1599" t="s">
        <v>12</v>
      </c>
      <c r="B1599" t="s">
        <v>8</v>
      </c>
      <c r="C1599">
        <v>61.08</v>
      </c>
      <c r="D1599">
        <v>59.079810000000002</v>
      </c>
      <c r="E1599" s="1">
        <v>40940</v>
      </c>
      <c r="F1599">
        <f t="shared" si="48"/>
        <v>2</v>
      </c>
      <c r="G1599">
        <f t="shared" si="49"/>
        <v>2012</v>
      </c>
    </row>
    <row r="1600" spans="1:7" x14ac:dyDescent="0.25">
      <c r="A1600" t="s">
        <v>12</v>
      </c>
      <c r="B1600" t="s">
        <v>8</v>
      </c>
      <c r="C1600">
        <v>61.74</v>
      </c>
      <c r="D1600">
        <v>62.561590000000002</v>
      </c>
      <c r="E1600" s="1">
        <v>40969</v>
      </c>
      <c r="F1600">
        <f t="shared" si="48"/>
        <v>3</v>
      </c>
      <c r="G1600">
        <f t="shared" si="49"/>
        <v>2012</v>
      </c>
    </row>
    <row r="1601" spans="1:7" x14ac:dyDescent="0.25">
      <c r="A1601" t="s">
        <v>12</v>
      </c>
      <c r="B1601" t="s">
        <v>8</v>
      </c>
      <c r="C1601">
        <v>61</v>
      </c>
      <c r="D1601">
        <v>57.861519999999999</v>
      </c>
      <c r="E1601" s="1">
        <v>41000</v>
      </c>
      <c r="F1601">
        <f t="shared" si="48"/>
        <v>4</v>
      </c>
      <c r="G1601">
        <f t="shared" si="49"/>
        <v>2012</v>
      </c>
    </row>
    <row r="1602" spans="1:7" x14ac:dyDescent="0.25">
      <c r="A1602" t="s">
        <v>12</v>
      </c>
      <c r="B1602" t="s">
        <v>8</v>
      </c>
      <c r="C1602">
        <v>62.9</v>
      </c>
      <c r="D1602">
        <v>62.396340000000002</v>
      </c>
      <c r="E1602" s="1">
        <v>41030</v>
      </c>
      <c r="F1602">
        <f t="shared" ref="F1602:F1665" si="50">MONTH(E1602)</f>
        <v>5</v>
      </c>
      <c r="G1602">
        <f t="shared" ref="G1602:G1665" si="51">YEAR(E1602)</f>
        <v>2012</v>
      </c>
    </row>
    <row r="1603" spans="1:7" x14ac:dyDescent="0.25">
      <c r="A1603" t="s">
        <v>12</v>
      </c>
      <c r="B1603" t="s">
        <v>8</v>
      </c>
      <c r="C1603">
        <v>61.6</v>
      </c>
      <c r="D1603">
        <v>61.838630000000002</v>
      </c>
      <c r="E1603" s="1">
        <v>41061</v>
      </c>
      <c r="F1603">
        <f t="shared" si="50"/>
        <v>6</v>
      </c>
      <c r="G1603">
        <f t="shared" si="51"/>
        <v>2012</v>
      </c>
    </row>
    <row r="1604" spans="1:7" x14ac:dyDescent="0.25">
      <c r="A1604" t="s">
        <v>12</v>
      </c>
      <c r="B1604" t="s">
        <v>8</v>
      </c>
      <c r="C1604">
        <v>63.15</v>
      </c>
      <c r="D1604">
        <v>61.146030000000003</v>
      </c>
      <c r="E1604" s="1">
        <v>41091</v>
      </c>
      <c r="F1604">
        <f t="shared" si="50"/>
        <v>7</v>
      </c>
      <c r="G1604">
        <f t="shared" si="51"/>
        <v>2012</v>
      </c>
    </row>
    <row r="1605" spans="1:7" x14ac:dyDescent="0.25">
      <c r="A1605" t="s">
        <v>12</v>
      </c>
      <c r="B1605" t="s">
        <v>8</v>
      </c>
      <c r="C1605">
        <v>63.76</v>
      </c>
      <c r="D1605">
        <v>63.186810000000001</v>
      </c>
      <c r="E1605" s="1">
        <v>41122</v>
      </c>
      <c r="F1605">
        <f t="shared" si="50"/>
        <v>8</v>
      </c>
      <c r="G1605">
        <f t="shared" si="51"/>
        <v>2012</v>
      </c>
    </row>
    <row r="1606" spans="1:7" x14ac:dyDescent="0.25">
      <c r="A1606" t="s">
        <v>12</v>
      </c>
      <c r="B1606" t="s">
        <v>8</v>
      </c>
      <c r="C1606">
        <v>63.01</v>
      </c>
      <c r="D1606">
        <v>63.174959999999999</v>
      </c>
      <c r="E1606" s="1">
        <v>41153</v>
      </c>
      <c r="F1606">
        <f t="shared" si="50"/>
        <v>9</v>
      </c>
      <c r="G1606">
        <f t="shared" si="51"/>
        <v>2012</v>
      </c>
    </row>
    <row r="1607" spans="1:7" x14ac:dyDescent="0.25">
      <c r="A1607" t="s">
        <v>12</v>
      </c>
      <c r="B1607" t="s">
        <v>8</v>
      </c>
      <c r="C1607">
        <v>63.11</v>
      </c>
      <c r="D1607">
        <v>63.225360000000002</v>
      </c>
      <c r="E1607" s="1">
        <v>41183</v>
      </c>
      <c r="F1607">
        <f t="shared" si="50"/>
        <v>10</v>
      </c>
      <c r="G1607">
        <f t="shared" si="51"/>
        <v>2012</v>
      </c>
    </row>
    <row r="1608" spans="1:7" x14ac:dyDescent="0.25">
      <c r="A1608" t="s">
        <v>12</v>
      </c>
      <c r="B1608" t="s">
        <v>8</v>
      </c>
      <c r="C1608">
        <v>63.26</v>
      </c>
      <c r="D1608">
        <v>65.592219999999998</v>
      </c>
      <c r="E1608" s="1">
        <v>41214</v>
      </c>
      <c r="F1608">
        <f t="shared" si="50"/>
        <v>11</v>
      </c>
      <c r="G1608">
        <f t="shared" si="51"/>
        <v>2012</v>
      </c>
    </row>
    <row r="1609" spans="1:7" x14ac:dyDescent="0.25">
      <c r="A1609" t="s">
        <v>12</v>
      </c>
      <c r="B1609" t="s">
        <v>8</v>
      </c>
      <c r="C1609">
        <v>66.14</v>
      </c>
      <c r="D1609">
        <v>75.370620000000002</v>
      </c>
      <c r="E1609" s="1">
        <v>41244</v>
      </c>
      <c r="F1609">
        <f t="shared" si="50"/>
        <v>12</v>
      </c>
      <c r="G1609">
        <f t="shared" si="51"/>
        <v>2012</v>
      </c>
    </row>
    <row r="1610" spans="1:7" x14ac:dyDescent="0.25">
      <c r="A1610" t="s">
        <v>12</v>
      </c>
      <c r="B1610" t="s">
        <v>8</v>
      </c>
      <c r="C1610">
        <v>65.209999999999994</v>
      </c>
      <c r="D1610">
        <v>62.458089999999999</v>
      </c>
      <c r="E1610" s="1">
        <v>41275</v>
      </c>
      <c r="F1610">
        <f t="shared" si="50"/>
        <v>1</v>
      </c>
      <c r="G1610">
        <f t="shared" si="51"/>
        <v>2013</v>
      </c>
    </row>
    <row r="1611" spans="1:7" x14ac:dyDescent="0.25">
      <c r="A1611" t="s">
        <v>12</v>
      </c>
      <c r="B1611" t="s">
        <v>8</v>
      </c>
      <c r="C1611">
        <v>66.11</v>
      </c>
      <c r="D1611">
        <v>62.096469999999997</v>
      </c>
      <c r="E1611" s="1">
        <v>41306</v>
      </c>
      <c r="F1611">
        <f t="shared" si="50"/>
        <v>2</v>
      </c>
      <c r="G1611">
        <f t="shared" si="51"/>
        <v>2013</v>
      </c>
    </row>
    <row r="1612" spans="1:7" x14ac:dyDescent="0.25">
      <c r="A1612" t="s">
        <v>12</v>
      </c>
      <c r="B1612" t="s">
        <v>8</v>
      </c>
      <c r="C1612">
        <v>64.28</v>
      </c>
      <c r="D1612">
        <v>64.773719999999997</v>
      </c>
      <c r="E1612" s="1">
        <v>41334</v>
      </c>
      <c r="F1612">
        <f t="shared" si="50"/>
        <v>3</v>
      </c>
      <c r="G1612">
        <f t="shared" si="51"/>
        <v>2013</v>
      </c>
    </row>
    <row r="1613" spans="1:7" x14ac:dyDescent="0.25">
      <c r="A1613" t="s">
        <v>12</v>
      </c>
      <c r="B1613" t="s">
        <v>8</v>
      </c>
      <c r="C1613">
        <v>66.95</v>
      </c>
      <c r="D1613">
        <v>63.875030000000002</v>
      </c>
      <c r="E1613" s="1">
        <v>41365</v>
      </c>
      <c r="F1613">
        <f t="shared" si="50"/>
        <v>4</v>
      </c>
      <c r="G1613">
        <f t="shared" si="51"/>
        <v>2013</v>
      </c>
    </row>
    <row r="1614" spans="1:7" x14ac:dyDescent="0.25">
      <c r="A1614" t="s">
        <v>12</v>
      </c>
      <c r="B1614" t="s">
        <v>8</v>
      </c>
      <c r="C1614">
        <v>66.73</v>
      </c>
      <c r="D1614">
        <v>66.161670000000001</v>
      </c>
      <c r="E1614" s="1">
        <v>41395</v>
      </c>
      <c r="F1614">
        <f t="shared" si="50"/>
        <v>5</v>
      </c>
      <c r="G1614">
        <f t="shared" si="51"/>
        <v>2013</v>
      </c>
    </row>
    <row r="1615" spans="1:7" x14ac:dyDescent="0.25">
      <c r="A1615" t="s">
        <v>12</v>
      </c>
      <c r="B1615" t="s">
        <v>8</v>
      </c>
      <c r="C1615">
        <v>67.459999999999994</v>
      </c>
      <c r="D1615">
        <v>67.582470000000001</v>
      </c>
      <c r="E1615" s="1">
        <v>41426</v>
      </c>
      <c r="F1615">
        <f t="shared" si="50"/>
        <v>6</v>
      </c>
      <c r="G1615">
        <f t="shared" si="51"/>
        <v>2013</v>
      </c>
    </row>
    <row r="1616" spans="1:7" x14ac:dyDescent="0.25">
      <c r="A1616" t="s">
        <v>12</v>
      </c>
      <c r="B1616" t="s">
        <v>8</v>
      </c>
      <c r="C1616">
        <v>66.540000000000006</v>
      </c>
      <c r="D1616">
        <v>64.00882</v>
      </c>
      <c r="E1616" s="1">
        <v>41456</v>
      </c>
      <c r="F1616">
        <f t="shared" si="50"/>
        <v>7</v>
      </c>
      <c r="G1616">
        <f t="shared" si="51"/>
        <v>2013</v>
      </c>
    </row>
    <row r="1617" spans="1:7" x14ac:dyDescent="0.25">
      <c r="A1617" t="s">
        <v>12</v>
      </c>
      <c r="B1617" t="s">
        <v>8</v>
      </c>
      <c r="C1617">
        <v>65.7</v>
      </c>
      <c r="D1617">
        <v>64.77028</v>
      </c>
      <c r="E1617" s="1">
        <v>41487</v>
      </c>
      <c r="F1617">
        <f t="shared" si="50"/>
        <v>8</v>
      </c>
      <c r="G1617">
        <f t="shared" si="51"/>
        <v>2013</v>
      </c>
    </row>
    <row r="1618" spans="1:7" x14ac:dyDescent="0.25">
      <c r="A1618" t="s">
        <v>12</v>
      </c>
      <c r="B1618" t="s">
        <v>8</v>
      </c>
      <c r="C1618">
        <v>67.010000000000005</v>
      </c>
      <c r="D1618">
        <v>67.537490000000005</v>
      </c>
      <c r="E1618" s="1">
        <v>41518</v>
      </c>
      <c r="F1618">
        <f t="shared" si="50"/>
        <v>9</v>
      </c>
      <c r="G1618">
        <f t="shared" si="51"/>
        <v>2013</v>
      </c>
    </row>
    <row r="1619" spans="1:7" x14ac:dyDescent="0.25">
      <c r="A1619" t="s">
        <v>12</v>
      </c>
      <c r="B1619" t="s">
        <v>8</v>
      </c>
      <c r="C1619">
        <v>68.56</v>
      </c>
      <c r="D1619">
        <v>69.108400000000003</v>
      </c>
      <c r="E1619" s="1">
        <v>41548</v>
      </c>
      <c r="F1619">
        <f t="shared" si="50"/>
        <v>10</v>
      </c>
      <c r="G1619">
        <f t="shared" si="51"/>
        <v>2013</v>
      </c>
    </row>
    <row r="1620" spans="1:7" x14ac:dyDescent="0.25">
      <c r="A1620" t="s">
        <v>12</v>
      </c>
      <c r="B1620" t="s">
        <v>8</v>
      </c>
      <c r="C1620">
        <v>69.510000000000005</v>
      </c>
      <c r="D1620">
        <v>71.051429999999996</v>
      </c>
      <c r="E1620" s="1">
        <v>41579</v>
      </c>
      <c r="F1620">
        <f t="shared" si="50"/>
        <v>11</v>
      </c>
      <c r="G1620">
        <f t="shared" si="51"/>
        <v>2013</v>
      </c>
    </row>
    <row r="1621" spans="1:7" x14ac:dyDescent="0.25">
      <c r="A1621" t="s">
        <v>12</v>
      </c>
      <c r="B1621" t="s">
        <v>8</v>
      </c>
      <c r="C1621">
        <v>70.09</v>
      </c>
      <c r="D1621">
        <v>81.241280000000003</v>
      </c>
      <c r="E1621" s="1">
        <v>41609</v>
      </c>
      <c r="F1621">
        <f t="shared" si="50"/>
        <v>12</v>
      </c>
      <c r="G1621">
        <f t="shared" si="51"/>
        <v>2013</v>
      </c>
    </row>
    <row r="1622" spans="1:7" x14ac:dyDescent="0.25">
      <c r="A1622" t="s">
        <v>12</v>
      </c>
      <c r="B1622" t="s">
        <v>8</v>
      </c>
      <c r="C1622">
        <v>72.83</v>
      </c>
      <c r="D1622">
        <v>69.952969999999993</v>
      </c>
      <c r="E1622" s="1">
        <v>41640</v>
      </c>
      <c r="F1622">
        <f t="shared" si="50"/>
        <v>1</v>
      </c>
      <c r="G1622">
        <f t="shared" si="51"/>
        <v>2014</v>
      </c>
    </row>
    <row r="1623" spans="1:7" x14ac:dyDescent="0.25">
      <c r="A1623" t="s">
        <v>12</v>
      </c>
      <c r="B1623" t="s">
        <v>8</v>
      </c>
      <c r="C1623">
        <v>67.28</v>
      </c>
      <c r="D1623">
        <v>63.837629999999997</v>
      </c>
      <c r="E1623" s="1">
        <v>41671</v>
      </c>
      <c r="F1623">
        <f t="shared" si="50"/>
        <v>2</v>
      </c>
      <c r="G1623">
        <f t="shared" si="51"/>
        <v>2014</v>
      </c>
    </row>
    <row r="1624" spans="1:7" x14ac:dyDescent="0.25">
      <c r="A1624" t="s">
        <v>12</v>
      </c>
      <c r="B1624" t="s">
        <v>8</v>
      </c>
      <c r="C1624">
        <v>69.62</v>
      </c>
      <c r="D1624">
        <v>68.782150000000001</v>
      </c>
      <c r="E1624" s="1">
        <v>41699</v>
      </c>
      <c r="F1624">
        <f t="shared" si="50"/>
        <v>3</v>
      </c>
      <c r="G1624">
        <f t="shared" si="51"/>
        <v>2014</v>
      </c>
    </row>
    <row r="1625" spans="1:7" x14ac:dyDescent="0.25">
      <c r="A1625" t="s">
        <v>12</v>
      </c>
      <c r="B1625" t="s">
        <v>8</v>
      </c>
      <c r="C1625">
        <v>69.02</v>
      </c>
      <c r="D1625">
        <v>65.651809999999998</v>
      </c>
      <c r="E1625" s="1">
        <v>41730</v>
      </c>
      <c r="F1625">
        <f t="shared" si="50"/>
        <v>4</v>
      </c>
      <c r="G1625">
        <f t="shared" si="51"/>
        <v>2014</v>
      </c>
    </row>
    <row r="1626" spans="1:7" x14ac:dyDescent="0.25">
      <c r="A1626" t="s">
        <v>12</v>
      </c>
      <c r="B1626" t="s">
        <v>8</v>
      </c>
      <c r="C1626">
        <v>69.84</v>
      </c>
      <c r="D1626">
        <v>68.733360000000005</v>
      </c>
      <c r="E1626" s="1">
        <v>41760</v>
      </c>
      <c r="F1626">
        <f t="shared" si="50"/>
        <v>5</v>
      </c>
      <c r="G1626">
        <f t="shared" si="51"/>
        <v>2014</v>
      </c>
    </row>
    <row r="1627" spans="1:7" x14ac:dyDescent="0.25">
      <c r="A1627" t="s">
        <v>12</v>
      </c>
      <c r="B1627" t="s">
        <v>8</v>
      </c>
      <c r="C1627">
        <v>70.17</v>
      </c>
      <c r="D1627">
        <v>70.796760000000006</v>
      </c>
      <c r="E1627" s="1">
        <v>41791</v>
      </c>
      <c r="F1627">
        <f t="shared" si="50"/>
        <v>6</v>
      </c>
      <c r="G1627">
        <f t="shared" si="51"/>
        <v>2014</v>
      </c>
    </row>
    <row r="1628" spans="1:7" x14ac:dyDescent="0.25">
      <c r="A1628" t="s">
        <v>12</v>
      </c>
      <c r="B1628" t="s">
        <v>8</v>
      </c>
      <c r="C1628">
        <v>70.36</v>
      </c>
      <c r="D1628">
        <v>68.300169999999994</v>
      </c>
      <c r="E1628" s="1">
        <v>41821</v>
      </c>
      <c r="F1628">
        <f t="shared" si="50"/>
        <v>7</v>
      </c>
      <c r="G1628">
        <f t="shared" si="51"/>
        <v>2014</v>
      </c>
    </row>
    <row r="1629" spans="1:7" x14ac:dyDescent="0.25">
      <c r="A1629" t="s">
        <v>12</v>
      </c>
      <c r="B1629" t="s">
        <v>8</v>
      </c>
      <c r="C1629">
        <v>70.45</v>
      </c>
      <c r="D1629">
        <v>69.516549999999995</v>
      </c>
      <c r="E1629" s="1">
        <v>41852</v>
      </c>
      <c r="F1629">
        <f t="shared" si="50"/>
        <v>8</v>
      </c>
      <c r="G1629">
        <f t="shared" si="51"/>
        <v>2014</v>
      </c>
    </row>
    <row r="1630" spans="1:7" x14ac:dyDescent="0.25">
      <c r="A1630" t="s">
        <v>12</v>
      </c>
      <c r="B1630" t="s">
        <v>8</v>
      </c>
      <c r="C1630">
        <v>71.88</v>
      </c>
      <c r="D1630">
        <v>72.798370000000006</v>
      </c>
      <c r="E1630" s="1">
        <v>41883</v>
      </c>
      <c r="F1630">
        <f t="shared" si="50"/>
        <v>9</v>
      </c>
      <c r="G1630">
        <f t="shared" si="51"/>
        <v>2014</v>
      </c>
    </row>
    <row r="1631" spans="1:7" x14ac:dyDescent="0.25">
      <c r="A1631" t="s">
        <v>12</v>
      </c>
      <c r="B1631" t="s">
        <v>8</v>
      </c>
      <c r="C1631">
        <v>72.92</v>
      </c>
      <c r="D1631">
        <v>73.266999999999996</v>
      </c>
      <c r="E1631" s="1">
        <v>41913</v>
      </c>
      <c r="F1631">
        <f t="shared" si="50"/>
        <v>10</v>
      </c>
      <c r="G1631">
        <f t="shared" si="51"/>
        <v>2014</v>
      </c>
    </row>
    <row r="1632" spans="1:7" x14ac:dyDescent="0.25">
      <c r="A1632" t="s">
        <v>12</v>
      </c>
      <c r="B1632" t="s">
        <v>8</v>
      </c>
      <c r="C1632">
        <v>72.88</v>
      </c>
      <c r="D1632">
        <v>74.037949999999995</v>
      </c>
      <c r="E1632" s="1">
        <v>41944</v>
      </c>
      <c r="F1632">
        <f t="shared" si="50"/>
        <v>11</v>
      </c>
      <c r="G1632">
        <f t="shared" si="51"/>
        <v>2014</v>
      </c>
    </row>
    <row r="1633" spans="1:7" x14ac:dyDescent="0.25">
      <c r="A1633" t="s">
        <v>12</v>
      </c>
      <c r="B1633" t="s">
        <v>8</v>
      </c>
      <c r="C1633">
        <v>69.22</v>
      </c>
      <c r="D1633">
        <v>79.741150000000005</v>
      </c>
      <c r="E1633" s="1">
        <v>41974</v>
      </c>
      <c r="F1633">
        <f t="shared" si="50"/>
        <v>12</v>
      </c>
      <c r="G1633">
        <f t="shared" si="51"/>
        <v>2014</v>
      </c>
    </row>
    <row r="1634" spans="1:7" x14ac:dyDescent="0.25">
      <c r="A1634" t="s">
        <v>12</v>
      </c>
      <c r="B1634" t="s">
        <v>8</v>
      </c>
      <c r="C1634">
        <v>71.73</v>
      </c>
      <c r="D1634">
        <v>68.793300000000002</v>
      </c>
      <c r="E1634" s="1">
        <v>42005</v>
      </c>
      <c r="F1634">
        <f t="shared" si="50"/>
        <v>1</v>
      </c>
      <c r="G1634">
        <f t="shared" si="51"/>
        <v>2015</v>
      </c>
    </row>
    <row r="1635" spans="1:7" x14ac:dyDescent="0.25">
      <c r="A1635" t="s">
        <v>12</v>
      </c>
      <c r="B1635" t="s">
        <v>8</v>
      </c>
      <c r="C1635">
        <v>73.44</v>
      </c>
      <c r="D1635">
        <v>68.983729999999994</v>
      </c>
      <c r="E1635" s="1">
        <v>42036</v>
      </c>
      <c r="F1635">
        <f t="shared" si="50"/>
        <v>2</v>
      </c>
      <c r="G1635">
        <f t="shared" si="51"/>
        <v>2015</v>
      </c>
    </row>
    <row r="1636" spans="1:7" x14ac:dyDescent="0.25">
      <c r="A1636" t="s">
        <v>12</v>
      </c>
      <c r="B1636" t="s">
        <v>8</v>
      </c>
      <c r="C1636">
        <v>73.59</v>
      </c>
      <c r="D1636">
        <v>74.402410000000003</v>
      </c>
      <c r="E1636" s="1">
        <v>42064</v>
      </c>
      <c r="F1636">
        <f t="shared" si="50"/>
        <v>3</v>
      </c>
      <c r="G1636">
        <f t="shared" si="51"/>
        <v>2015</v>
      </c>
    </row>
    <row r="1637" spans="1:7" x14ac:dyDescent="0.25">
      <c r="A1637" t="s">
        <v>12</v>
      </c>
      <c r="B1637" t="s">
        <v>8</v>
      </c>
      <c r="C1637">
        <v>71.92</v>
      </c>
      <c r="D1637">
        <v>68.034809999999993</v>
      </c>
      <c r="E1637" s="1">
        <v>42095</v>
      </c>
      <c r="F1637">
        <f t="shared" si="50"/>
        <v>4</v>
      </c>
      <c r="G1637">
        <f t="shared" si="51"/>
        <v>2015</v>
      </c>
    </row>
    <row r="1638" spans="1:7" x14ac:dyDescent="0.25">
      <c r="A1638" t="s">
        <v>12</v>
      </c>
      <c r="B1638" t="s">
        <v>8</v>
      </c>
      <c r="C1638">
        <v>71.959999999999994</v>
      </c>
      <c r="D1638">
        <v>70.593140000000005</v>
      </c>
      <c r="E1638" s="1">
        <v>42125</v>
      </c>
      <c r="F1638">
        <f t="shared" si="50"/>
        <v>5</v>
      </c>
      <c r="G1638">
        <f t="shared" si="51"/>
        <v>2015</v>
      </c>
    </row>
    <row r="1639" spans="1:7" x14ac:dyDescent="0.25">
      <c r="A1639" t="s">
        <v>12</v>
      </c>
      <c r="B1639" t="s">
        <v>8</v>
      </c>
      <c r="C1639">
        <v>71.02</v>
      </c>
      <c r="D1639">
        <v>72.370130000000003</v>
      </c>
      <c r="E1639" s="1">
        <v>42156</v>
      </c>
      <c r="F1639">
        <f t="shared" si="50"/>
        <v>6</v>
      </c>
      <c r="G1639">
        <f t="shared" si="51"/>
        <v>2015</v>
      </c>
    </row>
    <row r="1640" spans="1:7" x14ac:dyDescent="0.25">
      <c r="A1640" t="s">
        <v>12</v>
      </c>
      <c r="B1640" t="s">
        <v>8</v>
      </c>
      <c r="C1640">
        <v>70.61</v>
      </c>
      <c r="D1640">
        <v>68.644760000000005</v>
      </c>
      <c r="E1640" s="1">
        <v>42186</v>
      </c>
      <c r="F1640">
        <f t="shared" si="50"/>
        <v>7</v>
      </c>
      <c r="G1640">
        <f t="shared" si="51"/>
        <v>2015</v>
      </c>
    </row>
    <row r="1641" spans="1:7" x14ac:dyDescent="0.25">
      <c r="A1641" t="s">
        <v>12</v>
      </c>
      <c r="B1641" t="s">
        <v>8</v>
      </c>
      <c r="C1641">
        <v>70.73</v>
      </c>
      <c r="D1641">
        <v>69.068790000000007</v>
      </c>
      <c r="E1641" s="1">
        <v>42217</v>
      </c>
      <c r="F1641">
        <f t="shared" si="50"/>
        <v>8</v>
      </c>
      <c r="G1641">
        <f t="shared" si="51"/>
        <v>2015</v>
      </c>
    </row>
    <row r="1642" spans="1:7" x14ac:dyDescent="0.25">
      <c r="A1642" t="s">
        <v>12</v>
      </c>
      <c r="B1642" t="s">
        <v>8</v>
      </c>
      <c r="C1642">
        <v>70.260000000000005</v>
      </c>
      <c r="D1642">
        <v>71.397260000000003</v>
      </c>
      <c r="E1642" s="1">
        <v>42248</v>
      </c>
      <c r="F1642">
        <f t="shared" si="50"/>
        <v>9</v>
      </c>
      <c r="G1642">
        <f t="shared" si="51"/>
        <v>2015</v>
      </c>
    </row>
    <row r="1643" spans="1:7" x14ac:dyDescent="0.25">
      <c r="A1643" t="s">
        <v>12</v>
      </c>
      <c r="B1643" t="s">
        <v>8</v>
      </c>
      <c r="C1643">
        <v>69.52</v>
      </c>
      <c r="D1643">
        <v>69.125370000000004</v>
      </c>
      <c r="E1643" s="1">
        <v>42278</v>
      </c>
      <c r="F1643">
        <f t="shared" si="50"/>
        <v>10</v>
      </c>
      <c r="G1643">
        <f t="shared" si="51"/>
        <v>2015</v>
      </c>
    </row>
    <row r="1644" spans="1:7" x14ac:dyDescent="0.25">
      <c r="A1644" t="s">
        <v>12</v>
      </c>
      <c r="B1644" t="s">
        <v>8</v>
      </c>
      <c r="C1644">
        <v>68.930000000000007</v>
      </c>
      <c r="D1644">
        <v>70.161299999999997</v>
      </c>
      <c r="E1644" s="1">
        <v>42309</v>
      </c>
      <c r="F1644">
        <f t="shared" si="50"/>
        <v>11</v>
      </c>
      <c r="G1644">
        <f t="shared" si="51"/>
        <v>2015</v>
      </c>
    </row>
    <row r="1645" spans="1:7" x14ac:dyDescent="0.25">
      <c r="A1645" t="s">
        <v>12</v>
      </c>
      <c r="B1645" t="s">
        <v>8</v>
      </c>
      <c r="C1645">
        <v>69.13</v>
      </c>
      <c r="D1645">
        <v>80.250559999999993</v>
      </c>
      <c r="E1645" s="1">
        <v>42339</v>
      </c>
      <c r="F1645">
        <f t="shared" si="50"/>
        <v>12</v>
      </c>
      <c r="G1645">
        <f t="shared" si="51"/>
        <v>2015</v>
      </c>
    </row>
    <row r="1646" spans="1:7" x14ac:dyDescent="0.25">
      <c r="A1646" t="s">
        <v>12</v>
      </c>
      <c r="B1646" t="s">
        <v>8</v>
      </c>
      <c r="C1646">
        <v>68.97</v>
      </c>
      <c r="D1646">
        <v>66.376990000000006</v>
      </c>
      <c r="E1646" s="1">
        <v>42370</v>
      </c>
      <c r="F1646">
        <f t="shared" si="50"/>
        <v>1</v>
      </c>
      <c r="G1646">
        <f t="shared" si="51"/>
        <v>2016</v>
      </c>
    </row>
    <row r="1647" spans="1:7" x14ac:dyDescent="0.25">
      <c r="A1647" t="s">
        <v>12</v>
      </c>
      <c r="B1647" t="s">
        <v>8</v>
      </c>
      <c r="C1647">
        <v>65.2</v>
      </c>
      <c r="D1647">
        <v>62.903230000000001</v>
      </c>
      <c r="E1647" s="1">
        <v>42401</v>
      </c>
      <c r="F1647">
        <f t="shared" si="50"/>
        <v>2</v>
      </c>
      <c r="G1647">
        <f t="shared" si="51"/>
        <v>2016</v>
      </c>
    </row>
    <row r="1648" spans="1:7" x14ac:dyDescent="0.25">
      <c r="A1648" t="s">
        <v>12</v>
      </c>
      <c r="B1648" t="s">
        <v>8</v>
      </c>
      <c r="C1648">
        <v>67.14</v>
      </c>
      <c r="D1648">
        <v>67.748760000000004</v>
      </c>
      <c r="E1648" s="1">
        <v>42430</v>
      </c>
      <c r="F1648">
        <f t="shared" si="50"/>
        <v>3</v>
      </c>
      <c r="G1648">
        <f t="shared" si="51"/>
        <v>2016</v>
      </c>
    </row>
    <row r="1649" spans="1:7" x14ac:dyDescent="0.25">
      <c r="A1649" t="s">
        <v>12</v>
      </c>
      <c r="B1649" t="s">
        <v>8</v>
      </c>
      <c r="C1649">
        <v>68.86</v>
      </c>
      <c r="D1649">
        <v>65.263360000000006</v>
      </c>
      <c r="E1649" s="1">
        <v>42461</v>
      </c>
      <c r="F1649">
        <f t="shared" si="50"/>
        <v>4</v>
      </c>
      <c r="G1649">
        <f t="shared" si="51"/>
        <v>2016</v>
      </c>
    </row>
    <row r="1650" spans="1:7" x14ac:dyDescent="0.25">
      <c r="A1650" t="s">
        <v>12</v>
      </c>
      <c r="B1650" t="s">
        <v>8</v>
      </c>
      <c r="C1650">
        <v>68.55</v>
      </c>
      <c r="D1650">
        <v>67.094939999999994</v>
      </c>
      <c r="E1650" s="1">
        <v>42491</v>
      </c>
      <c r="F1650">
        <f t="shared" si="50"/>
        <v>5</v>
      </c>
      <c r="G1650">
        <f t="shared" si="51"/>
        <v>2016</v>
      </c>
    </row>
    <row r="1651" spans="1:7" x14ac:dyDescent="0.25">
      <c r="A1651" t="s">
        <v>12</v>
      </c>
      <c r="B1651" t="s">
        <v>8</v>
      </c>
      <c r="C1651">
        <v>68.150000000000006</v>
      </c>
      <c r="D1651">
        <v>69.835409999999996</v>
      </c>
      <c r="E1651" s="1">
        <v>42522</v>
      </c>
      <c r="F1651">
        <f t="shared" si="50"/>
        <v>6</v>
      </c>
      <c r="G1651">
        <f t="shared" si="51"/>
        <v>2016</v>
      </c>
    </row>
    <row r="1652" spans="1:7" x14ac:dyDescent="0.25">
      <c r="A1652" t="s">
        <v>12</v>
      </c>
      <c r="B1652" t="s">
        <v>8</v>
      </c>
      <c r="C1652">
        <v>68.61</v>
      </c>
      <c r="D1652">
        <v>66.386849999999995</v>
      </c>
      <c r="E1652" s="1">
        <v>42552</v>
      </c>
      <c r="F1652">
        <f t="shared" si="50"/>
        <v>7</v>
      </c>
      <c r="G1652">
        <f t="shared" si="51"/>
        <v>2016</v>
      </c>
    </row>
    <row r="1653" spans="1:7" x14ac:dyDescent="0.25">
      <c r="A1653" t="s">
        <v>12</v>
      </c>
      <c r="B1653" t="s">
        <v>8</v>
      </c>
      <c r="C1653">
        <v>69.209999999999994</v>
      </c>
      <c r="D1653">
        <v>68.50385</v>
      </c>
      <c r="E1653" s="1">
        <v>42583</v>
      </c>
      <c r="F1653">
        <f t="shared" si="50"/>
        <v>8</v>
      </c>
      <c r="G1653">
        <f t="shared" si="51"/>
        <v>2016</v>
      </c>
    </row>
    <row r="1654" spans="1:7" x14ac:dyDescent="0.25">
      <c r="A1654" t="s">
        <v>12</v>
      </c>
      <c r="B1654" t="s">
        <v>8</v>
      </c>
      <c r="C1654">
        <v>69.67</v>
      </c>
      <c r="D1654">
        <v>71.299610000000001</v>
      </c>
      <c r="E1654" s="1">
        <v>42614</v>
      </c>
      <c r="F1654">
        <f t="shared" si="50"/>
        <v>9</v>
      </c>
      <c r="G1654">
        <f t="shared" si="51"/>
        <v>2016</v>
      </c>
    </row>
    <row r="1655" spans="1:7" x14ac:dyDescent="0.25">
      <c r="A1655" t="s">
        <v>12</v>
      </c>
      <c r="B1655" t="s">
        <v>8</v>
      </c>
      <c r="C1655">
        <v>68.099999999999994</v>
      </c>
      <c r="D1655">
        <v>66.54213</v>
      </c>
      <c r="E1655" s="1">
        <v>42644</v>
      </c>
      <c r="F1655">
        <f t="shared" si="50"/>
        <v>10</v>
      </c>
      <c r="G1655">
        <f t="shared" si="51"/>
        <v>2016</v>
      </c>
    </row>
    <row r="1656" spans="1:7" x14ac:dyDescent="0.25">
      <c r="A1656" t="s">
        <v>12</v>
      </c>
      <c r="B1656" t="s">
        <v>8</v>
      </c>
      <c r="C1656">
        <v>66.7</v>
      </c>
      <c r="D1656">
        <v>68.250529999999998</v>
      </c>
      <c r="E1656" s="1">
        <v>42675</v>
      </c>
      <c r="F1656">
        <f t="shared" si="50"/>
        <v>11</v>
      </c>
      <c r="G1656">
        <f t="shared" si="51"/>
        <v>2016</v>
      </c>
    </row>
    <row r="1657" spans="1:7" x14ac:dyDescent="0.25">
      <c r="A1657" t="s">
        <v>12</v>
      </c>
      <c r="B1657" t="s">
        <v>8</v>
      </c>
      <c r="C1657">
        <v>64.819999999999993</v>
      </c>
      <c r="D1657">
        <v>74.775630000000007</v>
      </c>
      <c r="E1657" s="1">
        <v>42705</v>
      </c>
      <c r="F1657">
        <f t="shared" si="50"/>
        <v>12</v>
      </c>
      <c r="G1657">
        <f t="shared" si="51"/>
        <v>2016</v>
      </c>
    </row>
    <row r="1658" spans="1:7" x14ac:dyDescent="0.25">
      <c r="A1658" t="s">
        <v>12</v>
      </c>
      <c r="B1658" t="s">
        <v>8</v>
      </c>
      <c r="C1658">
        <v>72.19</v>
      </c>
      <c r="D1658">
        <v>70.000749999999996</v>
      </c>
      <c r="E1658" s="1">
        <v>42736</v>
      </c>
      <c r="F1658">
        <f t="shared" si="50"/>
        <v>1</v>
      </c>
      <c r="G1658">
        <f t="shared" si="51"/>
        <v>2017</v>
      </c>
    </row>
    <row r="1659" spans="1:7" x14ac:dyDescent="0.25">
      <c r="A1659" t="s">
        <v>12</v>
      </c>
      <c r="B1659" t="s">
        <v>8</v>
      </c>
      <c r="C1659">
        <v>72.39</v>
      </c>
      <c r="D1659">
        <v>67.531959999999998</v>
      </c>
      <c r="E1659" s="1">
        <v>42767</v>
      </c>
      <c r="F1659">
        <f t="shared" si="50"/>
        <v>2</v>
      </c>
      <c r="G1659">
        <f t="shared" si="51"/>
        <v>2017</v>
      </c>
    </row>
    <row r="1660" spans="1:7" x14ac:dyDescent="0.25">
      <c r="A1660" t="s">
        <v>12</v>
      </c>
      <c r="B1660" t="s">
        <v>8</v>
      </c>
      <c r="C1660">
        <v>67.739999999999995</v>
      </c>
      <c r="D1660">
        <v>68.584069999999997</v>
      </c>
      <c r="E1660" s="1">
        <v>42795</v>
      </c>
      <c r="F1660">
        <f t="shared" si="50"/>
        <v>3</v>
      </c>
      <c r="G1660">
        <f t="shared" si="51"/>
        <v>2017</v>
      </c>
    </row>
    <row r="1661" spans="1:7" x14ac:dyDescent="0.25">
      <c r="A1661" t="s">
        <v>12</v>
      </c>
      <c r="B1661" t="s">
        <v>8</v>
      </c>
      <c r="C1661">
        <v>70.39</v>
      </c>
      <c r="D1661">
        <v>66.054320000000004</v>
      </c>
      <c r="E1661" s="1">
        <v>42826</v>
      </c>
      <c r="F1661">
        <f t="shared" si="50"/>
        <v>4</v>
      </c>
      <c r="G1661">
        <f t="shared" si="51"/>
        <v>2017</v>
      </c>
    </row>
    <row r="1662" spans="1:7" x14ac:dyDescent="0.25">
      <c r="A1662" t="s">
        <v>12</v>
      </c>
      <c r="B1662" t="s">
        <v>8</v>
      </c>
      <c r="C1662">
        <v>68.63</v>
      </c>
      <c r="D1662">
        <v>66.969170000000005</v>
      </c>
      <c r="E1662" s="1">
        <v>42856</v>
      </c>
      <c r="F1662">
        <f t="shared" si="50"/>
        <v>5</v>
      </c>
      <c r="G1662">
        <f t="shared" si="51"/>
        <v>2017</v>
      </c>
    </row>
    <row r="1663" spans="1:7" x14ac:dyDescent="0.25">
      <c r="A1663" t="s">
        <v>12</v>
      </c>
      <c r="B1663" t="s">
        <v>8</v>
      </c>
      <c r="C1663">
        <v>70.78</v>
      </c>
      <c r="D1663">
        <v>73.289050000000003</v>
      </c>
      <c r="E1663" s="1">
        <v>42887</v>
      </c>
      <c r="F1663">
        <f t="shared" si="50"/>
        <v>6</v>
      </c>
      <c r="G1663">
        <f t="shared" si="51"/>
        <v>2017</v>
      </c>
    </row>
    <row r="1664" spans="1:7" x14ac:dyDescent="0.25">
      <c r="A1664" t="s">
        <v>12</v>
      </c>
      <c r="B1664" t="s">
        <v>8</v>
      </c>
      <c r="C1664">
        <v>71</v>
      </c>
      <c r="D1664">
        <v>68.001609999999999</v>
      </c>
      <c r="E1664" s="1">
        <v>42917</v>
      </c>
      <c r="F1664">
        <f t="shared" si="50"/>
        <v>7</v>
      </c>
      <c r="G1664">
        <f t="shared" si="51"/>
        <v>2017</v>
      </c>
    </row>
    <row r="1665" spans="1:7" x14ac:dyDescent="0.25">
      <c r="A1665" t="s">
        <v>12</v>
      </c>
      <c r="B1665" t="s">
        <v>8</v>
      </c>
      <c r="C1665">
        <v>70.290000000000006</v>
      </c>
      <c r="D1665">
        <v>70.325770000000006</v>
      </c>
      <c r="E1665" s="1">
        <v>42948</v>
      </c>
      <c r="F1665">
        <f t="shared" si="50"/>
        <v>8</v>
      </c>
      <c r="G1665">
        <f t="shared" si="51"/>
        <v>2017</v>
      </c>
    </row>
    <row r="1666" spans="1:7" x14ac:dyDescent="0.25">
      <c r="A1666" t="s">
        <v>12</v>
      </c>
      <c r="B1666" t="s">
        <v>8</v>
      </c>
      <c r="C1666">
        <v>68.19</v>
      </c>
      <c r="D1666">
        <v>68.861429999999999</v>
      </c>
      <c r="E1666" s="1">
        <v>42979</v>
      </c>
      <c r="F1666">
        <f t="shared" ref="F1666:F1729" si="52">MONTH(E1666)</f>
        <v>9</v>
      </c>
      <c r="G1666">
        <f t="shared" ref="G1666:G1729" si="53">YEAR(E1666)</f>
        <v>2017</v>
      </c>
    </row>
    <row r="1667" spans="1:7" x14ac:dyDescent="0.25">
      <c r="A1667" t="s">
        <v>12</v>
      </c>
      <c r="B1667" t="s">
        <v>8</v>
      </c>
      <c r="C1667">
        <v>68.56</v>
      </c>
      <c r="D1667">
        <v>67.957390000000004</v>
      </c>
      <c r="E1667" s="1">
        <v>43009</v>
      </c>
      <c r="F1667">
        <f t="shared" si="52"/>
        <v>10</v>
      </c>
      <c r="G1667">
        <f t="shared" si="53"/>
        <v>2017</v>
      </c>
    </row>
    <row r="1668" spans="1:7" x14ac:dyDescent="0.25">
      <c r="A1668" t="s">
        <v>12</v>
      </c>
      <c r="B1668" t="s">
        <v>8</v>
      </c>
      <c r="C1668">
        <v>69.92</v>
      </c>
      <c r="D1668">
        <v>71.188980000000001</v>
      </c>
      <c r="E1668" s="1">
        <v>43040</v>
      </c>
      <c r="F1668">
        <f t="shared" si="52"/>
        <v>11</v>
      </c>
      <c r="G1668">
        <f t="shared" si="53"/>
        <v>2017</v>
      </c>
    </row>
    <row r="1669" spans="1:7" x14ac:dyDescent="0.25">
      <c r="A1669" t="s">
        <v>12</v>
      </c>
      <c r="B1669" t="s">
        <v>8</v>
      </c>
      <c r="C1669">
        <v>68.13</v>
      </c>
      <c r="D1669">
        <v>78.536510000000007</v>
      </c>
      <c r="E1669" s="1">
        <v>43070</v>
      </c>
      <c r="F1669">
        <f t="shared" si="52"/>
        <v>12</v>
      </c>
      <c r="G1669">
        <f t="shared" si="53"/>
        <v>2017</v>
      </c>
    </row>
    <row r="1670" spans="1:7" x14ac:dyDescent="0.25">
      <c r="A1670" t="s">
        <v>12</v>
      </c>
      <c r="B1670" t="s">
        <v>8</v>
      </c>
      <c r="C1670">
        <v>69.94</v>
      </c>
      <c r="D1670">
        <v>67.572370000000006</v>
      </c>
      <c r="E1670" s="1">
        <v>43101</v>
      </c>
      <c r="F1670">
        <f t="shared" si="52"/>
        <v>1</v>
      </c>
      <c r="G1670">
        <f t="shared" si="53"/>
        <v>2018</v>
      </c>
    </row>
    <row r="1671" spans="1:7" x14ac:dyDescent="0.25">
      <c r="A1671" t="s">
        <v>12</v>
      </c>
      <c r="B1671" t="s">
        <v>8</v>
      </c>
      <c r="C1671">
        <v>68.849999999999994</v>
      </c>
      <c r="D1671">
        <v>64.058790000000002</v>
      </c>
      <c r="E1671" s="1">
        <v>43132</v>
      </c>
      <c r="F1671">
        <f t="shared" si="52"/>
        <v>2</v>
      </c>
      <c r="G1671">
        <f t="shared" si="53"/>
        <v>2018</v>
      </c>
    </row>
    <row r="1672" spans="1:7" x14ac:dyDescent="0.25">
      <c r="A1672" t="s">
        <v>12</v>
      </c>
      <c r="B1672" t="s">
        <v>8</v>
      </c>
      <c r="C1672">
        <v>70.97</v>
      </c>
      <c r="D1672">
        <v>71.032669999999996</v>
      </c>
      <c r="E1672" s="1">
        <v>43160</v>
      </c>
      <c r="F1672">
        <f t="shared" si="52"/>
        <v>3</v>
      </c>
      <c r="G1672">
        <f t="shared" si="53"/>
        <v>2018</v>
      </c>
    </row>
    <row r="1673" spans="1:7" x14ac:dyDescent="0.25">
      <c r="A1673" t="s">
        <v>12</v>
      </c>
      <c r="B1673" t="s">
        <v>8</v>
      </c>
      <c r="C1673">
        <v>69.63</v>
      </c>
      <c r="D1673">
        <v>65.915170000000003</v>
      </c>
      <c r="E1673" s="1">
        <v>43191</v>
      </c>
      <c r="F1673">
        <f t="shared" si="52"/>
        <v>4</v>
      </c>
      <c r="G1673">
        <f t="shared" si="53"/>
        <v>2018</v>
      </c>
    </row>
    <row r="1674" spans="1:7" x14ac:dyDescent="0.25">
      <c r="A1674" t="s">
        <v>12</v>
      </c>
      <c r="B1674" t="s">
        <v>8</v>
      </c>
      <c r="C1674">
        <v>68.63</v>
      </c>
      <c r="D1674">
        <v>67.497500000000002</v>
      </c>
      <c r="E1674" s="1">
        <v>43221</v>
      </c>
      <c r="F1674">
        <f t="shared" si="52"/>
        <v>5</v>
      </c>
      <c r="G1674">
        <f t="shared" si="53"/>
        <v>2018</v>
      </c>
    </row>
    <row r="1675" spans="1:7" x14ac:dyDescent="0.25">
      <c r="A1675" t="s">
        <v>12</v>
      </c>
      <c r="B1675" t="s">
        <v>8</v>
      </c>
      <c r="C1675">
        <v>72.73</v>
      </c>
      <c r="D1675">
        <v>74.455240000000003</v>
      </c>
      <c r="E1675" s="1">
        <v>43252</v>
      </c>
      <c r="F1675">
        <f t="shared" si="52"/>
        <v>6</v>
      </c>
      <c r="G1675">
        <f t="shared" si="53"/>
        <v>2018</v>
      </c>
    </row>
    <row r="1676" spans="1:7" x14ac:dyDescent="0.25">
      <c r="A1676" t="s">
        <v>12</v>
      </c>
      <c r="B1676" t="s">
        <v>8</v>
      </c>
      <c r="C1676">
        <v>71.459999999999994</v>
      </c>
      <c r="D1676">
        <v>69.768990000000002</v>
      </c>
      <c r="E1676" s="1">
        <v>43282</v>
      </c>
      <c r="F1676">
        <f t="shared" si="52"/>
        <v>7</v>
      </c>
      <c r="G1676">
        <f t="shared" si="53"/>
        <v>2018</v>
      </c>
    </row>
    <row r="1677" spans="1:7" x14ac:dyDescent="0.25">
      <c r="A1677" t="s">
        <v>12</v>
      </c>
      <c r="B1677" t="s">
        <v>8</v>
      </c>
      <c r="C1677">
        <v>72.650000000000006</v>
      </c>
      <c r="D1677">
        <v>72.795540000000003</v>
      </c>
      <c r="E1677" s="1">
        <v>43313</v>
      </c>
      <c r="F1677">
        <f t="shared" si="52"/>
        <v>8</v>
      </c>
      <c r="G1677">
        <f t="shared" si="53"/>
        <v>2018</v>
      </c>
    </row>
    <row r="1678" spans="1:7" x14ac:dyDescent="0.25">
      <c r="A1678" t="s">
        <v>12</v>
      </c>
      <c r="B1678" t="s">
        <v>8</v>
      </c>
      <c r="C1678">
        <v>75.06</v>
      </c>
      <c r="D1678">
        <v>75.078729999999993</v>
      </c>
      <c r="E1678" s="1">
        <v>43344</v>
      </c>
      <c r="F1678">
        <f t="shared" si="52"/>
        <v>9</v>
      </c>
      <c r="G1678">
        <f t="shared" si="53"/>
        <v>2018</v>
      </c>
    </row>
    <row r="1679" spans="1:7" x14ac:dyDescent="0.25">
      <c r="A1679" t="s">
        <v>12</v>
      </c>
      <c r="B1679" t="s">
        <v>8</v>
      </c>
      <c r="C1679">
        <v>74.430000000000007</v>
      </c>
      <c r="D1679">
        <v>73.367540000000005</v>
      </c>
      <c r="E1679" s="1">
        <v>43374</v>
      </c>
      <c r="F1679">
        <f t="shared" si="52"/>
        <v>10</v>
      </c>
      <c r="G1679">
        <f t="shared" si="53"/>
        <v>2018</v>
      </c>
    </row>
    <row r="1680" spans="1:7" x14ac:dyDescent="0.25">
      <c r="A1680" t="s">
        <v>12</v>
      </c>
      <c r="B1680" t="s">
        <v>8</v>
      </c>
      <c r="C1680">
        <v>75</v>
      </c>
      <c r="D1680">
        <v>77.393339999999995</v>
      </c>
      <c r="E1680" s="1">
        <v>43405</v>
      </c>
      <c r="F1680">
        <f t="shared" si="52"/>
        <v>11</v>
      </c>
      <c r="G1680">
        <f t="shared" si="53"/>
        <v>2018</v>
      </c>
    </row>
    <row r="1681" spans="1:7" x14ac:dyDescent="0.25">
      <c r="A1681" t="s">
        <v>12</v>
      </c>
      <c r="B1681" t="s">
        <v>8</v>
      </c>
      <c r="C1681">
        <v>76.98</v>
      </c>
      <c r="D1681">
        <v>87.689419999999998</v>
      </c>
      <c r="E1681" s="1">
        <v>43435</v>
      </c>
      <c r="F1681">
        <f t="shared" si="52"/>
        <v>12</v>
      </c>
      <c r="G1681">
        <f t="shared" si="53"/>
        <v>2018</v>
      </c>
    </row>
    <row r="1682" spans="1:7" x14ac:dyDescent="0.25">
      <c r="A1682" t="s">
        <v>12</v>
      </c>
      <c r="B1682" t="s">
        <v>8</v>
      </c>
      <c r="C1682">
        <v>76.77</v>
      </c>
      <c r="D1682">
        <v>74.909599999999998</v>
      </c>
      <c r="E1682" s="1">
        <v>43466</v>
      </c>
      <c r="F1682">
        <f t="shared" si="52"/>
        <v>1</v>
      </c>
      <c r="G1682">
        <f t="shared" si="53"/>
        <v>2019</v>
      </c>
    </row>
    <row r="1683" spans="1:7" x14ac:dyDescent="0.25">
      <c r="A1683" t="s">
        <v>12</v>
      </c>
      <c r="B1683" t="s">
        <v>8</v>
      </c>
      <c r="C1683">
        <v>80.150000000000006</v>
      </c>
      <c r="D1683">
        <v>75.264840000000007</v>
      </c>
      <c r="E1683" s="1">
        <v>43497</v>
      </c>
      <c r="F1683">
        <f t="shared" si="52"/>
        <v>2</v>
      </c>
      <c r="G1683">
        <f t="shared" si="53"/>
        <v>2019</v>
      </c>
    </row>
    <row r="1684" spans="1:7" x14ac:dyDescent="0.25">
      <c r="A1684" t="s">
        <v>12</v>
      </c>
      <c r="B1684" t="s">
        <v>8</v>
      </c>
      <c r="C1684">
        <v>78.53</v>
      </c>
      <c r="D1684">
        <v>77.771240000000006</v>
      </c>
      <c r="E1684" s="1">
        <v>43525</v>
      </c>
      <c r="F1684">
        <f t="shared" si="52"/>
        <v>3</v>
      </c>
      <c r="G1684">
        <f t="shared" si="53"/>
        <v>2019</v>
      </c>
    </row>
    <row r="1685" spans="1:7" x14ac:dyDescent="0.25">
      <c r="A1685" t="s">
        <v>12</v>
      </c>
      <c r="B1685" t="s">
        <v>8</v>
      </c>
      <c r="C1685">
        <v>77.45</v>
      </c>
      <c r="D1685">
        <v>73.359809999999996</v>
      </c>
      <c r="E1685" s="1">
        <v>43556</v>
      </c>
      <c r="F1685">
        <f t="shared" si="52"/>
        <v>4</v>
      </c>
      <c r="G1685">
        <f t="shared" si="53"/>
        <v>2019</v>
      </c>
    </row>
    <row r="1686" spans="1:7" x14ac:dyDescent="0.25">
      <c r="A1686" t="s">
        <v>12</v>
      </c>
      <c r="B1686" t="s">
        <v>8</v>
      </c>
      <c r="C1686">
        <v>79.400000000000006</v>
      </c>
      <c r="D1686">
        <v>78.100440000000006</v>
      </c>
      <c r="E1686" s="1">
        <v>43586</v>
      </c>
      <c r="F1686">
        <f t="shared" si="52"/>
        <v>5</v>
      </c>
      <c r="G1686">
        <f t="shared" si="53"/>
        <v>2019</v>
      </c>
    </row>
    <row r="1687" spans="1:7" x14ac:dyDescent="0.25">
      <c r="A1687" t="s">
        <v>12</v>
      </c>
      <c r="B1687" t="s">
        <v>8</v>
      </c>
      <c r="C1687">
        <v>77.13</v>
      </c>
      <c r="D1687">
        <v>78.465270000000004</v>
      </c>
      <c r="E1687" s="1">
        <v>43617</v>
      </c>
      <c r="F1687">
        <f t="shared" si="52"/>
        <v>6</v>
      </c>
      <c r="G1687">
        <f t="shared" si="53"/>
        <v>2019</v>
      </c>
    </row>
    <row r="1688" spans="1:7" x14ac:dyDescent="0.25">
      <c r="A1688" t="s">
        <v>12</v>
      </c>
      <c r="B1688" t="s">
        <v>8</v>
      </c>
      <c r="C1688">
        <v>78.040000000000006</v>
      </c>
      <c r="D1688">
        <v>75.912199999999999</v>
      </c>
      <c r="E1688" s="1">
        <v>43647</v>
      </c>
      <c r="F1688">
        <f t="shared" si="52"/>
        <v>7</v>
      </c>
      <c r="G1688">
        <f t="shared" si="53"/>
        <v>2019</v>
      </c>
    </row>
    <row r="1689" spans="1:7" x14ac:dyDescent="0.25">
      <c r="A1689" t="s">
        <v>12</v>
      </c>
      <c r="B1689" t="s">
        <v>8</v>
      </c>
      <c r="C1689">
        <v>79.11</v>
      </c>
      <c r="D1689">
        <v>78.733519999999999</v>
      </c>
      <c r="E1689" s="1">
        <v>43678</v>
      </c>
      <c r="F1689">
        <f t="shared" si="52"/>
        <v>8</v>
      </c>
      <c r="G1689">
        <f t="shared" si="53"/>
        <v>2019</v>
      </c>
    </row>
    <row r="1690" spans="1:7" x14ac:dyDescent="0.25">
      <c r="A1690" t="s">
        <v>12</v>
      </c>
      <c r="B1690" t="s">
        <v>8</v>
      </c>
      <c r="C1690">
        <v>79.180000000000007</v>
      </c>
      <c r="D1690">
        <v>79.287840000000003</v>
      </c>
      <c r="E1690" s="1">
        <v>43709</v>
      </c>
      <c r="F1690">
        <f t="shared" si="52"/>
        <v>9</v>
      </c>
      <c r="G1690">
        <f t="shared" si="53"/>
        <v>2019</v>
      </c>
    </row>
    <row r="1691" spans="1:7" x14ac:dyDescent="0.25">
      <c r="A1691" t="s">
        <v>12</v>
      </c>
      <c r="B1691" t="s">
        <v>8</v>
      </c>
      <c r="C1691">
        <v>79.930000000000007</v>
      </c>
      <c r="D1691">
        <v>79.662409999999994</v>
      </c>
      <c r="E1691" s="1">
        <v>43739</v>
      </c>
      <c r="F1691">
        <f t="shared" si="52"/>
        <v>10</v>
      </c>
      <c r="G1691">
        <f t="shared" si="53"/>
        <v>2019</v>
      </c>
    </row>
    <row r="1692" spans="1:7" x14ac:dyDescent="0.25">
      <c r="A1692" t="s">
        <v>12</v>
      </c>
      <c r="B1692" t="s">
        <v>8</v>
      </c>
      <c r="C1692">
        <v>79.55</v>
      </c>
      <c r="D1692">
        <v>81.434820000000002</v>
      </c>
      <c r="E1692" s="1">
        <v>43770</v>
      </c>
      <c r="F1692">
        <f t="shared" si="52"/>
        <v>11</v>
      </c>
      <c r="G1692">
        <f t="shared" si="53"/>
        <v>2019</v>
      </c>
    </row>
    <row r="1693" spans="1:7" x14ac:dyDescent="0.25">
      <c r="A1693" t="s">
        <v>12</v>
      </c>
      <c r="B1693" t="s">
        <v>8</v>
      </c>
      <c r="C1693">
        <v>80.92</v>
      </c>
      <c r="D1693">
        <v>93.793189999999996</v>
      </c>
      <c r="E1693" s="1">
        <v>43800</v>
      </c>
      <c r="F1693">
        <f t="shared" si="52"/>
        <v>12</v>
      </c>
      <c r="G1693">
        <f t="shared" si="53"/>
        <v>2019</v>
      </c>
    </row>
    <row r="1694" spans="1:7" x14ac:dyDescent="0.25">
      <c r="A1694" t="s">
        <v>12</v>
      </c>
      <c r="B1694" t="s">
        <v>8</v>
      </c>
      <c r="C1694">
        <v>81.209999999999994</v>
      </c>
      <c r="D1694">
        <v>79.143410000000003</v>
      </c>
      <c r="E1694" s="1">
        <v>43831</v>
      </c>
      <c r="F1694">
        <f t="shared" si="52"/>
        <v>1</v>
      </c>
      <c r="G1694">
        <f t="shared" si="53"/>
        <v>2020</v>
      </c>
    </row>
    <row r="1695" spans="1:7" x14ac:dyDescent="0.25">
      <c r="A1695" t="s">
        <v>12</v>
      </c>
      <c r="B1695" t="s">
        <v>8</v>
      </c>
      <c r="C1695">
        <v>80.53</v>
      </c>
      <c r="D1695">
        <v>76.680660000000003</v>
      </c>
      <c r="E1695" s="1">
        <v>43862</v>
      </c>
      <c r="F1695">
        <f t="shared" si="52"/>
        <v>2</v>
      </c>
      <c r="G1695">
        <f t="shared" si="53"/>
        <v>2020</v>
      </c>
    </row>
    <row r="1696" spans="1:7" x14ac:dyDescent="0.25">
      <c r="A1696" t="s">
        <v>12</v>
      </c>
      <c r="B1696" t="s">
        <v>8</v>
      </c>
      <c r="C1696">
        <v>78.430000000000007</v>
      </c>
      <c r="D1696">
        <v>78.711690000000004</v>
      </c>
      <c r="E1696" s="1">
        <v>43891</v>
      </c>
      <c r="F1696">
        <f t="shared" si="52"/>
        <v>3</v>
      </c>
      <c r="G1696">
        <f t="shared" si="53"/>
        <v>2020</v>
      </c>
    </row>
    <row r="1697" spans="1:7" x14ac:dyDescent="0.25">
      <c r="A1697" t="s">
        <v>12</v>
      </c>
      <c r="B1697" t="s">
        <v>8</v>
      </c>
      <c r="C1697">
        <v>75.98</v>
      </c>
      <c r="D1697">
        <v>71.822800000000001</v>
      </c>
      <c r="E1697" s="1">
        <v>43922</v>
      </c>
      <c r="F1697">
        <f t="shared" si="52"/>
        <v>4</v>
      </c>
      <c r="G1697">
        <f t="shared" si="53"/>
        <v>2020</v>
      </c>
    </row>
    <row r="1698" spans="1:7" x14ac:dyDescent="0.25">
      <c r="A1698" t="s">
        <v>12</v>
      </c>
      <c r="B1698" t="s">
        <v>8</v>
      </c>
      <c r="C1698">
        <v>74.36</v>
      </c>
      <c r="D1698">
        <v>72.542140000000003</v>
      </c>
      <c r="E1698" s="1">
        <v>43952</v>
      </c>
      <c r="F1698">
        <f t="shared" si="52"/>
        <v>5</v>
      </c>
      <c r="G1698">
        <f t="shared" si="53"/>
        <v>2020</v>
      </c>
    </row>
    <row r="1699" spans="1:7" x14ac:dyDescent="0.25">
      <c r="A1699" t="s">
        <v>12</v>
      </c>
      <c r="B1699" t="s">
        <v>8</v>
      </c>
      <c r="C1699">
        <v>78.17</v>
      </c>
      <c r="D1699">
        <v>79.914209999999997</v>
      </c>
      <c r="E1699" s="1">
        <v>43983</v>
      </c>
      <c r="F1699">
        <f t="shared" si="52"/>
        <v>6</v>
      </c>
      <c r="G1699">
        <f t="shared" si="53"/>
        <v>2020</v>
      </c>
    </row>
    <row r="1700" spans="1:7" x14ac:dyDescent="0.25">
      <c r="A1700" t="s">
        <v>12</v>
      </c>
      <c r="B1700" t="s">
        <v>8</v>
      </c>
      <c r="C1700">
        <v>80.180000000000007</v>
      </c>
      <c r="D1700">
        <v>78.89564</v>
      </c>
      <c r="E1700" s="1">
        <v>44013</v>
      </c>
      <c r="F1700">
        <f t="shared" si="52"/>
        <v>7</v>
      </c>
      <c r="G1700">
        <f t="shared" si="53"/>
        <v>2020</v>
      </c>
    </row>
    <row r="1701" spans="1:7" x14ac:dyDescent="0.25">
      <c r="A1701" t="s">
        <v>12</v>
      </c>
      <c r="B1701" t="s">
        <v>8</v>
      </c>
      <c r="C1701">
        <v>80.209999999999994</v>
      </c>
      <c r="D1701">
        <v>78.755330000000001</v>
      </c>
      <c r="E1701" s="1">
        <v>44044</v>
      </c>
      <c r="F1701">
        <f t="shared" si="52"/>
        <v>8</v>
      </c>
      <c r="G1701">
        <f t="shared" si="53"/>
        <v>2020</v>
      </c>
    </row>
    <row r="1702" spans="1:7" x14ac:dyDescent="0.25">
      <c r="A1702" t="s">
        <v>12</v>
      </c>
      <c r="B1702" t="s">
        <v>8</v>
      </c>
      <c r="C1702">
        <v>81.61</v>
      </c>
      <c r="D1702">
        <v>82.030839999999998</v>
      </c>
      <c r="E1702" s="1">
        <v>44075</v>
      </c>
      <c r="F1702">
        <f t="shared" si="52"/>
        <v>9</v>
      </c>
      <c r="G1702">
        <f t="shared" si="53"/>
        <v>2020</v>
      </c>
    </row>
    <row r="1703" spans="1:7" x14ac:dyDescent="0.25">
      <c r="A1703" t="s">
        <v>12</v>
      </c>
      <c r="B1703" t="s">
        <v>8</v>
      </c>
      <c r="C1703">
        <v>84.64</v>
      </c>
      <c r="D1703">
        <v>84.165310000000005</v>
      </c>
      <c r="E1703" s="1">
        <v>44105</v>
      </c>
      <c r="F1703">
        <f t="shared" si="52"/>
        <v>10</v>
      </c>
      <c r="G1703">
        <f t="shared" si="53"/>
        <v>2020</v>
      </c>
    </row>
    <row r="1704" spans="1:7" x14ac:dyDescent="0.25">
      <c r="A1704" t="s">
        <v>12</v>
      </c>
      <c r="B1704" t="s">
        <v>8</v>
      </c>
      <c r="C1704">
        <v>84.87</v>
      </c>
      <c r="D1704">
        <v>87.278899999999993</v>
      </c>
      <c r="E1704" s="1">
        <v>44136</v>
      </c>
      <c r="F1704">
        <f t="shared" si="52"/>
        <v>11</v>
      </c>
      <c r="G1704">
        <f t="shared" si="53"/>
        <v>2020</v>
      </c>
    </row>
    <row r="1705" spans="1:7" x14ac:dyDescent="0.25">
      <c r="A1705" t="s">
        <v>12</v>
      </c>
      <c r="B1705" t="s">
        <v>8</v>
      </c>
      <c r="C1705">
        <v>85.62</v>
      </c>
      <c r="D1705">
        <v>99.624399999999994</v>
      </c>
      <c r="E1705" s="1">
        <v>44166</v>
      </c>
      <c r="F1705">
        <f t="shared" si="52"/>
        <v>12</v>
      </c>
      <c r="G1705">
        <f t="shared" si="53"/>
        <v>2020</v>
      </c>
    </row>
    <row r="1706" spans="1:7" x14ac:dyDescent="0.25">
      <c r="A1706" t="s">
        <v>12</v>
      </c>
      <c r="B1706" t="s">
        <v>8</v>
      </c>
      <c r="C1706">
        <v>87.13</v>
      </c>
      <c r="D1706">
        <v>84.242829999999998</v>
      </c>
      <c r="E1706" s="1">
        <v>44197</v>
      </c>
      <c r="F1706">
        <f t="shared" si="52"/>
        <v>1</v>
      </c>
      <c r="G1706">
        <f t="shared" si="53"/>
        <v>2021</v>
      </c>
    </row>
    <row r="1707" spans="1:7" x14ac:dyDescent="0.25">
      <c r="A1707" t="s">
        <v>12</v>
      </c>
      <c r="B1707" t="s">
        <v>8</v>
      </c>
      <c r="C1707">
        <v>89.23</v>
      </c>
      <c r="D1707">
        <v>82.803809999999999</v>
      </c>
      <c r="E1707" s="1">
        <v>44228</v>
      </c>
      <c r="F1707">
        <f t="shared" si="52"/>
        <v>2</v>
      </c>
      <c r="G1707">
        <f t="shared" si="53"/>
        <v>2021</v>
      </c>
    </row>
    <row r="1708" spans="1:7" x14ac:dyDescent="0.25">
      <c r="A1708" t="s">
        <v>12</v>
      </c>
      <c r="B1708" t="s">
        <v>8</v>
      </c>
      <c r="C1708">
        <v>90.16</v>
      </c>
      <c r="D1708">
        <v>89.732569999999996</v>
      </c>
      <c r="E1708" s="1">
        <v>44256</v>
      </c>
      <c r="F1708">
        <f t="shared" si="52"/>
        <v>3</v>
      </c>
      <c r="G1708">
        <f t="shared" si="53"/>
        <v>2021</v>
      </c>
    </row>
    <row r="1709" spans="1:7" x14ac:dyDescent="0.25">
      <c r="A1709" t="s">
        <v>12</v>
      </c>
      <c r="B1709" t="s">
        <v>8</v>
      </c>
      <c r="C1709">
        <v>92.77</v>
      </c>
      <c r="D1709">
        <v>88.633499999999998</v>
      </c>
      <c r="E1709" s="1">
        <v>44287</v>
      </c>
      <c r="F1709">
        <f t="shared" si="52"/>
        <v>4</v>
      </c>
      <c r="G1709">
        <f t="shared" si="53"/>
        <v>2021</v>
      </c>
    </row>
    <row r="1710" spans="1:7" x14ac:dyDescent="0.25">
      <c r="A1710" t="s">
        <v>12</v>
      </c>
      <c r="B1710" t="s">
        <v>8</v>
      </c>
      <c r="C1710">
        <v>92.92</v>
      </c>
      <c r="D1710">
        <v>89.148799999999994</v>
      </c>
      <c r="E1710" s="1">
        <v>44317</v>
      </c>
      <c r="F1710">
        <f t="shared" si="52"/>
        <v>5</v>
      </c>
      <c r="G1710">
        <f t="shared" si="53"/>
        <v>2021</v>
      </c>
    </row>
    <row r="1711" spans="1:7" x14ac:dyDescent="0.25">
      <c r="A1711" t="s">
        <v>12</v>
      </c>
      <c r="B1711" t="s">
        <v>8</v>
      </c>
      <c r="C1711">
        <v>93.38</v>
      </c>
      <c r="D1711">
        <v>95.318709999999996</v>
      </c>
      <c r="E1711" s="1">
        <v>44348</v>
      </c>
      <c r="F1711">
        <f t="shared" si="52"/>
        <v>6</v>
      </c>
      <c r="G1711">
        <f t="shared" si="53"/>
        <v>2021</v>
      </c>
    </row>
    <row r="1712" spans="1:7" x14ac:dyDescent="0.25">
      <c r="A1712" t="s">
        <v>12</v>
      </c>
      <c r="B1712" t="s">
        <v>8</v>
      </c>
      <c r="C1712">
        <v>93.98</v>
      </c>
      <c r="D1712">
        <v>92.276449999999997</v>
      </c>
      <c r="E1712" s="1">
        <v>44378</v>
      </c>
      <c r="F1712">
        <f t="shared" si="52"/>
        <v>7</v>
      </c>
      <c r="G1712">
        <f t="shared" si="53"/>
        <v>2021</v>
      </c>
    </row>
    <row r="1713" spans="1:7" x14ac:dyDescent="0.25">
      <c r="A1713" t="s">
        <v>12</v>
      </c>
      <c r="B1713" t="s">
        <v>8</v>
      </c>
      <c r="C1713">
        <v>95.25</v>
      </c>
      <c r="D1713">
        <v>95.024190000000004</v>
      </c>
      <c r="E1713" s="1">
        <v>44409</v>
      </c>
      <c r="F1713">
        <f t="shared" si="52"/>
        <v>8</v>
      </c>
      <c r="G1713">
        <f t="shared" si="53"/>
        <v>2021</v>
      </c>
    </row>
    <row r="1714" spans="1:7" x14ac:dyDescent="0.25">
      <c r="A1714" t="s">
        <v>12</v>
      </c>
      <c r="B1714" t="s">
        <v>8</v>
      </c>
      <c r="C1714">
        <v>94.25</v>
      </c>
      <c r="D1714">
        <v>94.418170000000003</v>
      </c>
      <c r="E1714" s="1">
        <v>44440</v>
      </c>
      <c r="F1714">
        <f t="shared" si="52"/>
        <v>9</v>
      </c>
      <c r="G1714">
        <f t="shared" si="53"/>
        <v>2021</v>
      </c>
    </row>
    <row r="1715" spans="1:7" x14ac:dyDescent="0.25">
      <c r="A1715" t="s">
        <v>12</v>
      </c>
      <c r="B1715" t="s">
        <v>8</v>
      </c>
      <c r="C1715">
        <v>94.14</v>
      </c>
      <c r="D1715">
        <v>93.754220000000004</v>
      </c>
      <c r="E1715" s="1">
        <v>44470</v>
      </c>
      <c r="F1715">
        <f t="shared" si="52"/>
        <v>10</v>
      </c>
      <c r="G1715">
        <f t="shared" si="53"/>
        <v>2021</v>
      </c>
    </row>
    <row r="1716" spans="1:7" x14ac:dyDescent="0.25">
      <c r="A1716" t="s">
        <v>12</v>
      </c>
      <c r="B1716" t="s">
        <v>8</v>
      </c>
      <c r="C1716">
        <v>99.21</v>
      </c>
      <c r="D1716">
        <v>102.90155</v>
      </c>
      <c r="E1716" s="1">
        <v>44501</v>
      </c>
      <c r="F1716">
        <f t="shared" si="52"/>
        <v>11</v>
      </c>
      <c r="G1716">
        <f t="shared" si="53"/>
        <v>2021</v>
      </c>
    </row>
    <row r="1717" spans="1:7" x14ac:dyDescent="0.25">
      <c r="A1717" t="s">
        <v>12</v>
      </c>
      <c r="B1717" t="s">
        <v>8</v>
      </c>
      <c r="C1717">
        <v>100.31</v>
      </c>
      <c r="D1717">
        <v>116.72269</v>
      </c>
      <c r="E1717" s="1">
        <v>44531</v>
      </c>
      <c r="F1717">
        <f t="shared" si="52"/>
        <v>12</v>
      </c>
      <c r="G1717">
        <f t="shared" si="53"/>
        <v>2021</v>
      </c>
    </row>
    <row r="1718" spans="1:7" x14ac:dyDescent="0.25">
      <c r="A1718" t="s">
        <v>12</v>
      </c>
      <c r="B1718" t="s">
        <v>8</v>
      </c>
      <c r="C1718">
        <v>96.52</v>
      </c>
      <c r="D1718">
        <v>91.965190000000007</v>
      </c>
      <c r="E1718" s="1">
        <v>44562</v>
      </c>
      <c r="F1718">
        <f t="shared" si="52"/>
        <v>1</v>
      </c>
      <c r="G1718">
        <f t="shared" si="53"/>
        <v>2022</v>
      </c>
    </row>
    <row r="1719" spans="1:7" x14ac:dyDescent="0.25">
      <c r="A1719" t="s">
        <v>12</v>
      </c>
      <c r="B1719" t="s">
        <v>8</v>
      </c>
      <c r="C1719">
        <v>95.11</v>
      </c>
      <c r="D1719">
        <v>88.379480000000001</v>
      </c>
      <c r="E1719" s="1">
        <v>44593</v>
      </c>
      <c r="F1719">
        <f t="shared" si="52"/>
        <v>2</v>
      </c>
      <c r="G1719">
        <f t="shared" si="53"/>
        <v>2022</v>
      </c>
    </row>
    <row r="1720" spans="1:7" x14ac:dyDescent="0.25">
      <c r="A1720" t="s">
        <v>12</v>
      </c>
      <c r="B1720" t="s">
        <v>8</v>
      </c>
      <c r="C1720">
        <v>97.32</v>
      </c>
      <c r="D1720">
        <v>97.555120000000002</v>
      </c>
      <c r="E1720" s="1">
        <v>44621</v>
      </c>
      <c r="F1720">
        <f t="shared" si="52"/>
        <v>3</v>
      </c>
      <c r="G1720">
        <f t="shared" si="53"/>
        <v>2022</v>
      </c>
    </row>
    <row r="1721" spans="1:7" x14ac:dyDescent="0.25">
      <c r="A1721" t="s">
        <v>12</v>
      </c>
      <c r="B1721" t="s">
        <v>8</v>
      </c>
      <c r="C1721">
        <v>98.55</v>
      </c>
      <c r="D1721">
        <v>93.028750000000002</v>
      </c>
      <c r="E1721" s="1">
        <v>44652</v>
      </c>
      <c r="F1721">
        <f t="shared" si="52"/>
        <v>4</v>
      </c>
      <c r="G1721">
        <f t="shared" si="53"/>
        <v>2022</v>
      </c>
    </row>
    <row r="1722" spans="1:7" x14ac:dyDescent="0.25">
      <c r="A1722" t="s">
        <v>12</v>
      </c>
      <c r="B1722" t="s">
        <v>8</v>
      </c>
      <c r="C1722">
        <v>99.93</v>
      </c>
      <c r="D1722">
        <v>96.984350000000006</v>
      </c>
      <c r="E1722" s="1">
        <v>44682</v>
      </c>
      <c r="F1722">
        <f t="shared" si="52"/>
        <v>5</v>
      </c>
      <c r="G1722">
        <f t="shared" si="53"/>
        <v>2022</v>
      </c>
    </row>
    <row r="1723" spans="1:7" x14ac:dyDescent="0.25">
      <c r="A1723" t="s">
        <v>12</v>
      </c>
      <c r="B1723" t="s">
        <v>8</v>
      </c>
      <c r="C1723">
        <v>98.64</v>
      </c>
      <c r="D1723">
        <v>99.951220000000006</v>
      </c>
      <c r="E1723" s="1">
        <v>44713</v>
      </c>
      <c r="F1723">
        <f t="shared" si="52"/>
        <v>6</v>
      </c>
      <c r="G1723">
        <f t="shared" si="53"/>
        <v>2022</v>
      </c>
    </row>
    <row r="1724" spans="1:7" x14ac:dyDescent="0.25">
      <c r="A1724" t="s">
        <v>12</v>
      </c>
      <c r="B1724" t="s">
        <v>8</v>
      </c>
      <c r="C1724">
        <v>100.14</v>
      </c>
      <c r="D1724">
        <v>98.737790000000004</v>
      </c>
      <c r="E1724" s="1">
        <v>44743</v>
      </c>
      <c r="F1724">
        <f t="shared" si="52"/>
        <v>7</v>
      </c>
      <c r="G1724">
        <f t="shared" si="53"/>
        <v>2022</v>
      </c>
    </row>
    <row r="1725" spans="1:7" x14ac:dyDescent="0.25">
      <c r="A1725" t="s">
        <v>12</v>
      </c>
      <c r="B1725" t="s">
        <v>8</v>
      </c>
      <c r="C1725">
        <v>101.89</v>
      </c>
      <c r="D1725">
        <v>101.05492</v>
      </c>
      <c r="E1725" s="1">
        <v>44774</v>
      </c>
      <c r="F1725">
        <f t="shared" si="52"/>
        <v>8</v>
      </c>
      <c r="G1725">
        <f t="shared" si="53"/>
        <v>2022</v>
      </c>
    </row>
    <row r="1726" spans="1:7" x14ac:dyDescent="0.25">
      <c r="A1726" t="s">
        <v>12</v>
      </c>
      <c r="B1726" t="s">
        <v>8</v>
      </c>
      <c r="C1726">
        <v>102.73</v>
      </c>
      <c r="D1726">
        <v>104.10391</v>
      </c>
      <c r="E1726" s="1">
        <v>44805</v>
      </c>
      <c r="F1726">
        <f t="shared" si="52"/>
        <v>9</v>
      </c>
      <c r="G1726">
        <f t="shared" si="53"/>
        <v>2022</v>
      </c>
    </row>
    <row r="1727" spans="1:7" x14ac:dyDescent="0.25">
      <c r="A1727" t="s">
        <v>12</v>
      </c>
      <c r="B1727" t="s">
        <v>8</v>
      </c>
      <c r="C1727">
        <v>108.87</v>
      </c>
      <c r="D1727">
        <v>107.09786</v>
      </c>
      <c r="E1727" s="1">
        <v>44835</v>
      </c>
      <c r="F1727">
        <f t="shared" si="52"/>
        <v>10</v>
      </c>
      <c r="G1727">
        <f t="shared" si="53"/>
        <v>2022</v>
      </c>
    </row>
    <row r="1728" spans="1:7" x14ac:dyDescent="0.25">
      <c r="A1728" t="s">
        <v>12</v>
      </c>
      <c r="B1728" t="s">
        <v>8</v>
      </c>
      <c r="C1728">
        <v>103.25</v>
      </c>
      <c r="D1728">
        <v>107.64257000000001</v>
      </c>
      <c r="E1728" s="1">
        <v>44866</v>
      </c>
      <c r="F1728">
        <f t="shared" si="52"/>
        <v>11</v>
      </c>
      <c r="G1728">
        <f t="shared" si="53"/>
        <v>2022</v>
      </c>
    </row>
    <row r="1729" spans="1:7" x14ac:dyDescent="0.25">
      <c r="A1729" t="s">
        <v>12</v>
      </c>
      <c r="B1729" t="s">
        <v>8</v>
      </c>
      <c r="C1729">
        <v>98.29</v>
      </c>
      <c r="D1729">
        <v>113.49885</v>
      </c>
      <c r="E1729" s="1">
        <v>44896</v>
      </c>
      <c r="F1729">
        <f t="shared" si="52"/>
        <v>12</v>
      </c>
      <c r="G1729">
        <f t="shared" si="53"/>
        <v>2022</v>
      </c>
    </row>
    <row r="1730" spans="1:7" x14ac:dyDescent="0.25">
      <c r="A1730" t="s">
        <v>12</v>
      </c>
      <c r="B1730" t="s">
        <v>8</v>
      </c>
      <c r="C1730">
        <v>101.28</v>
      </c>
      <c r="D1730">
        <v>98.055779999999999</v>
      </c>
      <c r="E1730" s="1">
        <v>44927</v>
      </c>
      <c r="F1730">
        <f t="shared" ref="F1730:F1793" si="54">MONTH(E1730)</f>
        <v>1</v>
      </c>
      <c r="G1730">
        <f t="shared" ref="G1730:G1793" si="55">YEAR(E1730)</f>
        <v>2023</v>
      </c>
    </row>
    <row r="1731" spans="1:7" x14ac:dyDescent="0.25">
      <c r="A1731" t="s">
        <v>12</v>
      </c>
      <c r="B1731" t="s">
        <v>8</v>
      </c>
      <c r="C1731">
        <v>100.97</v>
      </c>
      <c r="D1731">
        <v>93.888249999999999</v>
      </c>
      <c r="E1731" s="1">
        <v>44958</v>
      </c>
      <c r="F1731">
        <f t="shared" si="54"/>
        <v>2</v>
      </c>
      <c r="G1731">
        <f t="shared" si="55"/>
        <v>2023</v>
      </c>
    </row>
    <row r="1732" spans="1:7" x14ac:dyDescent="0.25">
      <c r="A1732" t="s">
        <v>12</v>
      </c>
      <c r="B1732" t="s">
        <v>8</v>
      </c>
      <c r="C1732">
        <v>100.5</v>
      </c>
      <c r="D1732">
        <v>100.86185999999999</v>
      </c>
      <c r="E1732" s="1">
        <v>44986</v>
      </c>
      <c r="F1732">
        <f t="shared" si="54"/>
        <v>3</v>
      </c>
      <c r="G1732">
        <f t="shared" si="55"/>
        <v>2023</v>
      </c>
    </row>
    <row r="1733" spans="1:7" x14ac:dyDescent="0.25">
      <c r="A1733" t="s">
        <v>12</v>
      </c>
      <c r="B1733" t="s">
        <v>8</v>
      </c>
      <c r="C1733">
        <v>99.42</v>
      </c>
      <c r="D1733">
        <v>93.319429999999997</v>
      </c>
      <c r="E1733" s="1">
        <v>45017</v>
      </c>
      <c r="F1733">
        <f t="shared" si="54"/>
        <v>4</v>
      </c>
      <c r="G1733">
        <f t="shared" si="55"/>
        <v>2023</v>
      </c>
    </row>
    <row r="1734" spans="1:7" x14ac:dyDescent="0.25">
      <c r="A1734" t="s">
        <v>12</v>
      </c>
      <c r="B1734" t="s">
        <v>8</v>
      </c>
      <c r="C1734">
        <v>99.03</v>
      </c>
      <c r="D1734">
        <v>95.294629999999998</v>
      </c>
      <c r="E1734" s="1">
        <v>45047</v>
      </c>
      <c r="F1734">
        <f t="shared" si="54"/>
        <v>5</v>
      </c>
      <c r="G1734">
        <f t="shared" si="55"/>
        <v>2023</v>
      </c>
    </row>
    <row r="1735" spans="1:7" x14ac:dyDescent="0.25">
      <c r="A1735" t="s">
        <v>12</v>
      </c>
      <c r="B1735" t="s">
        <v>8</v>
      </c>
      <c r="C1735">
        <v>102.13</v>
      </c>
      <c r="D1735">
        <v>104.30584</v>
      </c>
      <c r="E1735" s="1">
        <v>45078</v>
      </c>
      <c r="F1735">
        <f t="shared" si="54"/>
        <v>6</v>
      </c>
      <c r="G1735">
        <f t="shared" si="55"/>
        <v>2023</v>
      </c>
    </row>
    <row r="1736" spans="1:7" x14ac:dyDescent="0.25">
      <c r="A1736" t="s">
        <v>12</v>
      </c>
      <c r="B1736" t="s">
        <v>8</v>
      </c>
      <c r="C1736">
        <v>101.01</v>
      </c>
      <c r="D1736">
        <v>98.611609999999999</v>
      </c>
      <c r="E1736" s="1">
        <v>45108</v>
      </c>
      <c r="F1736">
        <f t="shared" si="54"/>
        <v>7</v>
      </c>
      <c r="G1736">
        <f t="shared" si="55"/>
        <v>2023</v>
      </c>
    </row>
    <row r="1737" spans="1:7" x14ac:dyDescent="0.25">
      <c r="A1737" t="s">
        <v>12</v>
      </c>
      <c r="B1737" t="s">
        <v>8</v>
      </c>
      <c r="C1737">
        <v>101.16</v>
      </c>
      <c r="D1737">
        <v>101.09862</v>
      </c>
      <c r="E1737" s="1">
        <v>45139</v>
      </c>
      <c r="F1737">
        <f t="shared" si="54"/>
        <v>8</v>
      </c>
      <c r="G1737">
        <f t="shared" si="55"/>
        <v>2023</v>
      </c>
    </row>
    <row r="1738" spans="1:7" x14ac:dyDescent="0.25">
      <c r="A1738" t="s">
        <v>12</v>
      </c>
      <c r="B1738" t="s">
        <v>8</v>
      </c>
      <c r="C1738">
        <v>101.13</v>
      </c>
      <c r="D1738">
        <v>101.50778</v>
      </c>
      <c r="E1738" s="1">
        <v>45170</v>
      </c>
      <c r="F1738">
        <f t="shared" si="54"/>
        <v>9</v>
      </c>
      <c r="G1738">
        <f t="shared" si="55"/>
        <v>2023</v>
      </c>
    </row>
    <row r="1739" spans="1:7" x14ac:dyDescent="0.25">
      <c r="A1739" t="s">
        <v>12</v>
      </c>
      <c r="B1739" t="s">
        <v>8</v>
      </c>
      <c r="C1739">
        <v>102.75</v>
      </c>
      <c r="D1739">
        <v>102.70399</v>
      </c>
      <c r="E1739" s="1">
        <v>45200</v>
      </c>
      <c r="F1739">
        <f t="shared" si="54"/>
        <v>10</v>
      </c>
      <c r="G1739">
        <f t="shared" si="55"/>
        <v>2023</v>
      </c>
    </row>
    <row r="1740" spans="1:7" x14ac:dyDescent="0.25">
      <c r="A1740" t="s">
        <v>12</v>
      </c>
      <c r="B1740" t="s">
        <v>8</v>
      </c>
      <c r="C1740">
        <v>103.24</v>
      </c>
      <c r="D1740">
        <v>107.32047</v>
      </c>
      <c r="E1740" s="1">
        <v>45231</v>
      </c>
      <c r="F1740">
        <f t="shared" si="54"/>
        <v>11</v>
      </c>
      <c r="G1740">
        <f t="shared" si="55"/>
        <v>2023</v>
      </c>
    </row>
    <row r="1741" spans="1:7" x14ac:dyDescent="0.25">
      <c r="A1741" t="s">
        <v>12</v>
      </c>
      <c r="B1741" t="s">
        <v>8</v>
      </c>
      <c r="C1741">
        <v>103.35</v>
      </c>
      <c r="D1741">
        <v>119.0322</v>
      </c>
      <c r="E1741" s="1">
        <v>45261</v>
      </c>
      <c r="F1741">
        <f t="shared" si="54"/>
        <v>12</v>
      </c>
      <c r="G1741">
        <f t="shared" si="55"/>
        <v>2023</v>
      </c>
    </row>
    <row r="1742" spans="1:7" x14ac:dyDescent="0.25">
      <c r="A1742" t="s">
        <v>12</v>
      </c>
      <c r="B1742" t="s">
        <v>8</v>
      </c>
      <c r="C1742">
        <v>104.16</v>
      </c>
      <c r="D1742">
        <v>100.25763999999999</v>
      </c>
      <c r="E1742" s="1">
        <v>45292</v>
      </c>
      <c r="F1742">
        <f t="shared" si="54"/>
        <v>1</v>
      </c>
      <c r="G1742">
        <f t="shared" si="55"/>
        <v>2024</v>
      </c>
    </row>
    <row r="1743" spans="1:7" x14ac:dyDescent="0.25">
      <c r="A1743" t="s">
        <v>12</v>
      </c>
      <c r="B1743" t="s">
        <v>8</v>
      </c>
      <c r="C1743">
        <v>98.9</v>
      </c>
      <c r="D1743">
        <v>95.636750000000006</v>
      </c>
      <c r="E1743" s="1">
        <v>45323</v>
      </c>
      <c r="F1743">
        <f t="shared" si="54"/>
        <v>2</v>
      </c>
      <c r="G1743">
        <f t="shared" si="55"/>
        <v>2024</v>
      </c>
    </row>
    <row r="1744" spans="1:7" x14ac:dyDescent="0.25">
      <c r="A1744" t="s">
        <v>12</v>
      </c>
      <c r="B1744" t="s">
        <v>8</v>
      </c>
      <c r="C1744">
        <v>106.26</v>
      </c>
      <c r="D1744">
        <v>105.69256</v>
      </c>
      <c r="E1744" s="1">
        <v>45352</v>
      </c>
      <c r="F1744">
        <f t="shared" si="54"/>
        <v>3</v>
      </c>
      <c r="G1744">
        <f t="shared" si="55"/>
        <v>2024</v>
      </c>
    </row>
    <row r="1745" spans="1:7" x14ac:dyDescent="0.25">
      <c r="A1745" t="s">
        <v>12</v>
      </c>
      <c r="B1745" t="s">
        <v>8</v>
      </c>
      <c r="C1745">
        <v>106.41</v>
      </c>
      <c r="D1745">
        <v>100.99605</v>
      </c>
      <c r="E1745" s="1">
        <v>45383</v>
      </c>
      <c r="F1745">
        <f t="shared" si="54"/>
        <v>4</v>
      </c>
      <c r="G1745">
        <f t="shared" si="55"/>
        <v>2024</v>
      </c>
    </row>
    <row r="1746" spans="1:7" x14ac:dyDescent="0.25">
      <c r="A1746" t="s">
        <v>12</v>
      </c>
      <c r="B1746" t="s">
        <v>8</v>
      </c>
      <c r="C1746">
        <v>105.77</v>
      </c>
      <c r="D1746">
        <v>102.50584000000001</v>
      </c>
      <c r="E1746" s="1">
        <v>45413</v>
      </c>
      <c r="F1746">
        <f t="shared" si="54"/>
        <v>5</v>
      </c>
      <c r="G1746">
        <f t="shared" si="55"/>
        <v>2024</v>
      </c>
    </row>
    <row r="1747" spans="1:7" x14ac:dyDescent="0.25">
      <c r="A1747" t="s">
        <v>12</v>
      </c>
      <c r="B1747" t="s">
        <v>8</v>
      </c>
      <c r="C1747">
        <v>107.39</v>
      </c>
      <c r="D1747">
        <v>107.67151</v>
      </c>
      <c r="E1747" s="1">
        <v>45444</v>
      </c>
      <c r="F1747">
        <f t="shared" si="54"/>
        <v>6</v>
      </c>
      <c r="G1747">
        <f t="shared" si="55"/>
        <v>2024</v>
      </c>
    </row>
    <row r="1748" spans="1:7" x14ac:dyDescent="0.25">
      <c r="A1748" t="s">
        <v>12</v>
      </c>
      <c r="B1748" t="s">
        <v>8</v>
      </c>
      <c r="C1748">
        <v>109.12</v>
      </c>
      <c r="D1748">
        <v>107.82514999999999</v>
      </c>
      <c r="E1748" s="1">
        <v>45474</v>
      </c>
      <c r="F1748">
        <f t="shared" si="54"/>
        <v>7</v>
      </c>
      <c r="G1748">
        <f t="shared" si="55"/>
        <v>2024</v>
      </c>
    </row>
    <row r="1749" spans="1:7" x14ac:dyDescent="0.25">
      <c r="A1749" t="s">
        <v>12</v>
      </c>
      <c r="B1749" t="s">
        <v>8</v>
      </c>
      <c r="C1749">
        <v>109.25</v>
      </c>
      <c r="D1749">
        <v>108.47038000000001</v>
      </c>
      <c r="E1749" s="1">
        <v>45505</v>
      </c>
      <c r="F1749">
        <f t="shared" si="54"/>
        <v>8</v>
      </c>
      <c r="G1749">
        <f t="shared" si="55"/>
        <v>2024</v>
      </c>
    </row>
    <row r="1750" spans="1:7" x14ac:dyDescent="0.25">
      <c r="A1750" t="s">
        <v>12</v>
      </c>
      <c r="B1750" t="s">
        <v>8</v>
      </c>
      <c r="C1750">
        <v>110.85</v>
      </c>
      <c r="D1750">
        <v>111.36199999999999</v>
      </c>
      <c r="E1750" s="1">
        <v>45536</v>
      </c>
      <c r="F1750">
        <f t="shared" si="54"/>
        <v>9</v>
      </c>
      <c r="G1750">
        <f t="shared" si="55"/>
        <v>2024</v>
      </c>
    </row>
    <row r="1751" spans="1:7" x14ac:dyDescent="0.25">
      <c r="A1751" t="s">
        <v>12</v>
      </c>
      <c r="B1751" t="s">
        <v>8</v>
      </c>
      <c r="C1751">
        <v>109.59</v>
      </c>
      <c r="D1751">
        <v>109.85639</v>
      </c>
      <c r="E1751" s="1">
        <v>45566</v>
      </c>
      <c r="F1751">
        <f t="shared" si="54"/>
        <v>10</v>
      </c>
      <c r="G1751">
        <f t="shared" si="55"/>
        <v>2024</v>
      </c>
    </row>
    <row r="1752" spans="1:7" x14ac:dyDescent="0.25">
      <c r="A1752" t="s">
        <v>12</v>
      </c>
      <c r="B1752" t="s">
        <v>8</v>
      </c>
      <c r="C1752">
        <v>111.02</v>
      </c>
      <c r="D1752">
        <v>115.16369</v>
      </c>
      <c r="E1752" s="1">
        <v>45597</v>
      </c>
      <c r="F1752">
        <f t="shared" si="54"/>
        <v>11</v>
      </c>
      <c r="G1752">
        <f t="shared" si="55"/>
        <v>2024</v>
      </c>
    </row>
    <row r="1753" spans="1:7" x14ac:dyDescent="0.25">
      <c r="A1753" t="s">
        <v>12</v>
      </c>
      <c r="B1753" t="s">
        <v>8</v>
      </c>
      <c r="C1753">
        <v>108.52</v>
      </c>
      <c r="D1753">
        <v>125.25423000000001</v>
      </c>
      <c r="E1753" s="1">
        <v>45627</v>
      </c>
      <c r="F1753">
        <f t="shared" si="54"/>
        <v>12</v>
      </c>
      <c r="G1753">
        <f t="shared" si="55"/>
        <v>2024</v>
      </c>
    </row>
    <row r="1754" spans="1:7" x14ac:dyDescent="0.25">
      <c r="A1754" t="s">
        <v>12</v>
      </c>
      <c r="B1754" t="s">
        <v>8</v>
      </c>
      <c r="C1754">
        <v>113.85</v>
      </c>
      <c r="D1754">
        <v>110.69061000000001</v>
      </c>
      <c r="E1754" s="1">
        <v>45658</v>
      </c>
      <c r="F1754">
        <f t="shared" si="54"/>
        <v>1</v>
      </c>
      <c r="G1754">
        <f t="shared" si="55"/>
        <v>2025</v>
      </c>
    </row>
    <row r="1755" spans="1:7" x14ac:dyDescent="0.25">
      <c r="A1755" t="s">
        <v>12</v>
      </c>
      <c r="B1755" t="s">
        <v>8</v>
      </c>
      <c r="C1755">
        <v>116.12</v>
      </c>
      <c r="D1755">
        <v>109.08428000000001</v>
      </c>
      <c r="E1755" s="1">
        <v>45689</v>
      </c>
      <c r="F1755">
        <f t="shared" si="54"/>
        <v>2</v>
      </c>
      <c r="G1755">
        <f t="shared" si="55"/>
        <v>2025</v>
      </c>
    </row>
    <row r="1756" spans="1:7" x14ac:dyDescent="0.25">
      <c r="A1756" t="s">
        <v>12</v>
      </c>
      <c r="B1756" t="s">
        <v>8</v>
      </c>
      <c r="C1756">
        <v>115.88</v>
      </c>
      <c r="D1756">
        <v>113.40873999999999</v>
      </c>
      <c r="E1756" s="1">
        <v>45717</v>
      </c>
      <c r="F1756">
        <f t="shared" si="54"/>
        <v>3</v>
      </c>
      <c r="G1756">
        <f t="shared" si="55"/>
        <v>2025</v>
      </c>
    </row>
    <row r="1757" spans="1:7" x14ac:dyDescent="0.25">
      <c r="A1757" t="s">
        <v>12</v>
      </c>
      <c r="B1757" t="s">
        <v>8</v>
      </c>
      <c r="C1757">
        <v>116.88</v>
      </c>
      <c r="D1757">
        <v>110.65246999999999</v>
      </c>
      <c r="E1757" s="1">
        <v>45748</v>
      </c>
      <c r="F1757">
        <f t="shared" si="54"/>
        <v>4</v>
      </c>
      <c r="G1757">
        <f t="shared" si="55"/>
        <v>2025</v>
      </c>
    </row>
    <row r="1758" spans="1:7" x14ac:dyDescent="0.25">
      <c r="A1758" t="s">
        <v>12</v>
      </c>
      <c r="B1758" t="s">
        <v>8</v>
      </c>
      <c r="C1758">
        <v>118.37</v>
      </c>
      <c r="D1758">
        <v>114.12721000000001</v>
      </c>
      <c r="E1758" s="1">
        <v>45778</v>
      </c>
      <c r="F1758">
        <f t="shared" si="54"/>
        <v>5</v>
      </c>
      <c r="G1758">
        <f t="shared" si="55"/>
        <v>2025</v>
      </c>
    </row>
    <row r="1759" spans="1:7" x14ac:dyDescent="0.25">
      <c r="A1759" t="s">
        <v>12</v>
      </c>
      <c r="B1759" t="s">
        <v>8</v>
      </c>
      <c r="C1759">
        <v>116.2</v>
      </c>
      <c r="D1759">
        <v>116.73813</v>
      </c>
      <c r="E1759" s="1">
        <v>45809</v>
      </c>
      <c r="F1759">
        <f t="shared" si="54"/>
        <v>6</v>
      </c>
      <c r="G1759">
        <f t="shared" si="55"/>
        <v>2025</v>
      </c>
    </row>
    <row r="1760" spans="1:7" x14ac:dyDescent="0.25">
      <c r="A1760" t="s">
        <v>12</v>
      </c>
      <c r="B1760" t="s">
        <v>8</v>
      </c>
      <c r="C1760">
        <v>120.58</v>
      </c>
      <c r="D1760">
        <v>120.27647</v>
      </c>
      <c r="E1760" s="1">
        <v>45839</v>
      </c>
      <c r="F1760">
        <f t="shared" si="54"/>
        <v>7</v>
      </c>
      <c r="G1760">
        <f t="shared" si="55"/>
        <v>2025</v>
      </c>
    </row>
    <row r="1761" spans="1:7" x14ac:dyDescent="0.25">
      <c r="A1761" t="s">
        <v>12</v>
      </c>
      <c r="B1761" t="s">
        <v>8</v>
      </c>
      <c r="C1761">
        <v>117.89</v>
      </c>
      <c r="D1761">
        <v>116.81923999999999</v>
      </c>
      <c r="E1761" s="1">
        <v>45870</v>
      </c>
      <c r="F1761">
        <f t="shared" si="54"/>
        <v>8</v>
      </c>
      <c r="G1761">
        <f t="shared" si="55"/>
        <v>2025</v>
      </c>
    </row>
    <row r="1762" spans="1:7" x14ac:dyDescent="0.25">
      <c r="A1762" t="s">
        <v>12</v>
      </c>
      <c r="B1762" t="s">
        <v>7</v>
      </c>
      <c r="C1762">
        <v>104.62</v>
      </c>
      <c r="D1762">
        <v>109.92169</v>
      </c>
      <c r="E1762" s="1">
        <v>40544</v>
      </c>
      <c r="F1762">
        <f t="shared" si="54"/>
        <v>1</v>
      </c>
      <c r="G1762">
        <f t="shared" si="55"/>
        <v>2011</v>
      </c>
    </row>
    <row r="1763" spans="1:7" x14ac:dyDescent="0.25">
      <c r="A1763" t="s">
        <v>12</v>
      </c>
      <c r="B1763" t="s">
        <v>7</v>
      </c>
      <c r="C1763">
        <v>108.36</v>
      </c>
      <c r="D1763">
        <v>100.34298</v>
      </c>
      <c r="E1763" s="1">
        <v>40575</v>
      </c>
      <c r="F1763">
        <f t="shared" si="54"/>
        <v>2</v>
      </c>
      <c r="G1763">
        <f t="shared" si="55"/>
        <v>2011</v>
      </c>
    </row>
    <row r="1764" spans="1:7" x14ac:dyDescent="0.25">
      <c r="A1764" t="s">
        <v>12</v>
      </c>
      <c r="B1764" t="s">
        <v>7</v>
      </c>
      <c r="C1764">
        <v>110.97</v>
      </c>
      <c r="D1764">
        <v>109.09392</v>
      </c>
      <c r="E1764" s="1">
        <v>40603</v>
      </c>
      <c r="F1764">
        <f t="shared" si="54"/>
        <v>3</v>
      </c>
      <c r="G1764">
        <f t="shared" si="55"/>
        <v>2011</v>
      </c>
    </row>
    <row r="1765" spans="1:7" x14ac:dyDescent="0.25">
      <c r="A1765" t="s">
        <v>12</v>
      </c>
      <c r="B1765" t="s">
        <v>7</v>
      </c>
      <c r="C1765">
        <v>114.11</v>
      </c>
      <c r="D1765">
        <v>113.59986000000001</v>
      </c>
      <c r="E1765" s="1">
        <v>40634</v>
      </c>
      <c r="F1765">
        <f t="shared" si="54"/>
        <v>4</v>
      </c>
      <c r="G1765">
        <f t="shared" si="55"/>
        <v>2011</v>
      </c>
    </row>
    <row r="1766" spans="1:7" x14ac:dyDescent="0.25">
      <c r="A1766" t="s">
        <v>12</v>
      </c>
      <c r="B1766" t="s">
        <v>7</v>
      </c>
      <c r="C1766">
        <v>111.37</v>
      </c>
      <c r="D1766">
        <v>105.73511999999999</v>
      </c>
      <c r="E1766" s="1">
        <v>40664</v>
      </c>
      <c r="F1766">
        <f t="shared" si="54"/>
        <v>5</v>
      </c>
      <c r="G1766">
        <f t="shared" si="55"/>
        <v>2011</v>
      </c>
    </row>
    <row r="1767" spans="1:7" x14ac:dyDescent="0.25">
      <c r="A1767" t="s">
        <v>12</v>
      </c>
      <c r="B1767" t="s">
        <v>7</v>
      </c>
      <c r="C1767">
        <v>115.88</v>
      </c>
      <c r="D1767">
        <v>107.33459000000001</v>
      </c>
      <c r="E1767" s="1">
        <v>40695</v>
      </c>
      <c r="F1767">
        <f t="shared" si="54"/>
        <v>6</v>
      </c>
      <c r="G1767">
        <f t="shared" si="55"/>
        <v>2011</v>
      </c>
    </row>
    <row r="1768" spans="1:7" x14ac:dyDescent="0.25">
      <c r="A1768" t="s">
        <v>12</v>
      </c>
      <c r="B1768" t="s">
        <v>7</v>
      </c>
      <c r="C1768">
        <v>115.87</v>
      </c>
      <c r="D1768">
        <v>112.25189</v>
      </c>
      <c r="E1768" s="1">
        <v>40725</v>
      </c>
      <c r="F1768">
        <f t="shared" si="54"/>
        <v>7</v>
      </c>
      <c r="G1768">
        <f t="shared" si="55"/>
        <v>2011</v>
      </c>
    </row>
    <row r="1769" spans="1:7" x14ac:dyDescent="0.25">
      <c r="A1769" t="s">
        <v>12</v>
      </c>
      <c r="B1769" t="s">
        <v>7</v>
      </c>
      <c r="C1769">
        <v>111.38</v>
      </c>
      <c r="D1769">
        <v>111.43917</v>
      </c>
      <c r="E1769" s="1">
        <v>40756</v>
      </c>
      <c r="F1769">
        <f t="shared" si="54"/>
        <v>8</v>
      </c>
      <c r="G1769">
        <f t="shared" si="55"/>
        <v>2011</v>
      </c>
    </row>
    <row r="1770" spans="1:7" x14ac:dyDescent="0.25">
      <c r="A1770" t="s">
        <v>12</v>
      </c>
      <c r="B1770" t="s">
        <v>7</v>
      </c>
      <c r="C1770">
        <v>110.78</v>
      </c>
      <c r="D1770">
        <v>107.85723</v>
      </c>
      <c r="E1770" s="1">
        <v>40787</v>
      </c>
      <c r="F1770">
        <f t="shared" si="54"/>
        <v>9</v>
      </c>
      <c r="G1770">
        <f t="shared" si="55"/>
        <v>2011</v>
      </c>
    </row>
    <row r="1771" spans="1:7" x14ac:dyDescent="0.25">
      <c r="A1771" t="s">
        <v>12</v>
      </c>
      <c r="B1771" t="s">
        <v>7</v>
      </c>
      <c r="C1771">
        <v>113.54</v>
      </c>
      <c r="D1771">
        <v>116.79069</v>
      </c>
      <c r="E1771" s="1">
        <v>40817</v>
      </c>
      <c r="F1771">
        <f t="shared" si="54"/>
        <v>10</v>
      </c>
      <c r="G1771">
        <f t="shared" si="55"/>
        <v>2011</v>
      </c>
    </row>
    <row r="1772" spans="1:7" x14ac:dyDescent="0.25">
      <c r="A1772" t="s">
        <v>12</v>
      </c>
      <c r="B1772" t="s">
        <v>7</v>
      </c>
      <c r="C1772">
        <v>117.3</v>
      </c>
      <c r="D1772">
        <v>121.44613</v>
      </c>
      <c r="E1772" s="1">
        <v>40848</v>
      </c>
      <c r="F1772">
        <f t="shared" si="54"/>
        <v>11</v>
      </c>
      <c r="G1772">
        <f t="shared" si="55"/>
        <v>2011</v>
      </c>
    </row>
    <row r="1773" spans="1:7" x14ac:dyDescent="0.25">
      <c r="A1773" t="s">
        <v>12</v>
      </c>
      <c r="B1773" t="s">
        <v>7</v>
      </c>
      <c r="C1773">
        <v>108.96</v>
      </c>
      <c r="D1773">
        <v>127.57253</v>
      </c>
      <c r="E1773" s="1">
        <v>40878</v>
      </c>
      <c r="F1773">
        <f t="shared" si="54"/>
        <v>12</v>
      </c>
      <c r="G1773">
        <f t="shared" si="55"/>
        <v>2011</v>
      </c>
    </row>
    <row r="1774" spans="1:7" x14ac:dyDescent="0.25">
      <c r="A1774" t="s">
        <v>12</v>
      </c>
      <c r="B1774" t="s">
        <v>7</v>
      </c>
      <c r="C1774">
        <v>111.88</v>
      </c>
      <c r="D1774">
        <v>115.98556000000001</v>
      </c>
      <c r="E1774" s="1">
        <v>40909</v>
      </c>
      <c r="F1774">
        <f t="shared" si="54"/>
        <v>1</v>
      </c>
      <c r="G1774">
        <f t="shared" si="55"/>
        <v>2012</v>
      </c>
    </row>
    <row r="1775" spans="1:7" x14ac:dyDescent="0.25">
      <c r="A1775" t="s">
        <v>12</v>
      </c>
      <c r="B1775" t="s">
        <v>7</v>
      </c>
      <c r="C1775">
        <v>109.63</v>
      </c>
      <c r="D1775">
        <v>102.67019999999999</v>
      </c>
      <c r="E1775" s="1">
        <v>40940</v>
      </c>
      <c r="F1775">
        <f t="shared" si="54"/>
        <v>2</v>
      </c>
      <c r="G1775">
        <f t="shared" si="55"/>
        <v>2012</v>
      </c>
    </row>
    <row r="1776" spans="1:7" x14ac:dyDescent="0.25">
      <c r="A1776" t="s">
        <v>12</v>
      </c>
      <c r="B1776" t="s">
        <v>7</v>
      </c>
      <c r="C1776">
        <v>108.6</v>
      </c>
      <c r="D1776">
        <v>111.1194</v>
      </c>
      <c r="E1776" s="1">
        <v>40969</v>
      </c>
      <c r="F1776">
        <f t="shared" si="54"/>
        <v>3</v>
      </c>
      <c r="G1776">
        <f t="shared" si="55"/>
        <v>2012</v>
      </c>
    </row>
    <row r="1777" spans="1:7" x14ac:dyDescent="0.25">
      <c r="A1777" t="s">
        <v>12</v>
      </c>
      <c r="B1777" t="s">
        <v>7</v>
      </c>
      <c r="C1777">
        <v>107.44</v>
      </c>
      <c r="D1777">
        <v>103.57388</v>
      </c>
      <c r="E1777" s="1">
        <v>41000</v>
      </c>
      <c r="F1777">
        <f t="shared" si="54"/>
        <v>4</v>
      </c>
      <c r="G1777">
        <f t="shared" si="55"/>
        <v>2012</v>
      </c>
    </row>
    <row r="1778" spans="1:7" x14ac:dyDescent="0.25">
      <c r="A1778" t="s">
        <v>12</v>
      </c>
      <c r="B1778" t="s">
        <v>7</v>
      </c>
      <c r="C1778">
        <v>112.16</v>
      </c>
      <c r="D1778">
        <v>106.68899</v>
      </c>
      <c r="E1778" s="1">
        <v>41030</v>
      </c>
      <c r="F1778">
        <f t="shared" si="54"/>
        <v>5</v>
      </c>
      <c r="G1778">
        <f t="shared" si="55"/>
        <v>2012</v>
      </c>
    </row>
    <row r="1779" spans="1:7" x14ac:dyDescent="0.25">
      <c r="A1779" t="s">
        <v>12</v>
      </c>
      <c r="B1779" t="s">
        <v>7</v>
      </c>
      <c r="C1779">
        <v>108.92</v>
      </c>
      <c r="D1779">
        <v>103.304</v>
      </c>
      <c r="E1779" s="1">
        <v>41061</v>
      </c>
      <c r="F1779">
        <f t="shared" si="54"/>
        <v>6</v>
      </c>
      <c r="G1779">
        <f t="shared" si="55"/>
        <v>2012</v>
      </c>
    </row>
    <row r="1780" spans="1:7" x14ac:dyDescent="0.25">
      <c r="A1780" t="s">
        <v>12</v>
      </c>
      <c r="B1780" t="s">
        <v>7</v>
      </c>
      <c r="C1780">
        <v>108.78</v>
      </c>
      <c r="D1780">
        <v>102.86005</v>
      </c>
      <c r="E1780" s="1">
        <v>41091</v>
      </c>
      <c r="F1780">
        <f t="shared" si="54"/>
        <v>7</v>
      </c>
      <c r="G1780">
        <f t="shared" si="55"/>
        <v>2012</v>
      </c>
    </row>
    <row r="1781" spans="1:7" x14ac:dyDescent="0.25">
      <c r="A1781" t="s">
        <v>12</v>
      </c>
      <c r="B1781" t="s">
        <v>7</v>
      </c>
      <c r="C1781">
        <v>114.8</v>
      </c>
      <c r="D1781">
        <v>114.95511</v>
      </c>
      <c r="E1781" s="1">
        <v>41122</v>
      </c>
      <c r="F1781">
        <f t="shared" si="54"/>
        <v>8</v>
      </c>
      <c r="G1781">
        <f t="shared" si="55"/>
        <v>2012</v>
      </c>
    </row>
    <row r="1782" spans="1:7" x14ac:dyDescent="0.25">
      <c r="A1782" t="s">
        <v>12</v>
      </c>
      <c r="B1782" t="s">
        <v>7</v>
      </c>
      <c r="C1782">
        <v>116.16</v>
      </c>
      <c r="D1782">
        <v>112.56274000000001</v>
      </c>
      <c r="E1782" s="1">
        <v>41153</v>
      </c>
      <c r="F1782">
        <f t="shared" si="54"/>
        <v>9</v>
      </c>
      <c r="G1782">
        <f t="shared" si="55"/>
        <v>2012</v>
      </c>
    </row>
    <row r="1783" spans="1:7" x14ac:dyDescent="0.25">
      <c r="A1783" t="s">
        <v>12</v>
      </c>
      <c r="B1783" t="s">
        <v>7</v>
      </c>
      <c r="C1783">
        <v>110.69</v>
      </c>
      <c r="D1783">
        <v>113.69004</v>
      </c>
      <c r="E1783" s="1">
        <v>41183</v>
      </c>
      <c r="F1783">
        <f t="shared" si="54"/>
        <v>10</v>
      </c>
      <c r="G1783">
        <f t="shared" si="55"/>
        <v>2012</v>
      </c>
    </row>
    <row r="1784" spans="1:7" x14ac:dyDescent="0.25">
      <c r="A1784" t="s">
        <v>12</v>
      </c>
      <c r="B1784" t="s">
        <v>7</v>
      </c>
      <c r="C1784">
        <v>114.23</v>
      </c>
      <c r="D1784">
        <v>118.53708</v>
      </c>
      <c r="E1784" s="1">
        <v>41214</v>
      </c>
      <c r="F1784">
        <f t="shared" si="54"/>
        <v>11</v>
      </c>
      <c r="G1784">
        <f t="shared" si="55"/>
        <v>2012</v>
      </c>
    </row>
    <row r="1785" spans="1:7" x14ac:dyDescent="0.25">
      <c r="A1785" t="s">
        <v>12</v>
      </c>
      <c r="B1785" t="s">
        <v>7</v>
      </c>
      <c r="C1785">
        <v>111.68</v>
      </c>
      <c r="D1785">
        <v>129.12594999999999</v>
      </c>
      <c r="E1785" s="1">
        <v>41244</v>
      </c>
      <c r="F1785">
        <f t="shared" si="54"/>
        <v>12</v>
      </c>
      <c r="G1785">
        <f t="shared" si="55"/>
        <v>2012</v>
      </c>
    </row>
    <row r="1786" spans="1:7" x14ac:dyDescent="0.25">
      <c r="A1786" t="s">
        <v>12</v>
      </c>
      <c r="B1786" t="s">
        <v>7</v>
      </c>
      <c r="C1786">
        <v>110.3</v>
      </c>
      <c r="D1786">
        <v>115.41646</v>
      </c>
      <c r="E1786" s="1">
        <v>41275</v>
      </c>
      <c r="F1786">
        <f t="shared" si="54"/>
        <v>1</v>
      </c>
      <c r="G1786">
        <f t="shared" si="55"/>
        <v>2013</v>
      </c>
    </row>
    <row r="1787" spans="1:7" x14ac:dyDescent="0.25">
      <c r="A1787" t="s">
        <v>12</v>
      </c>
      <c r="B1787" t="s">
        <v>7</v>
      </c>
      <c r="C1787">
        <v>109.86</v>
      </c>
      <c r="D1787">
        <v>101.38957000000001</v>
      </c>
      <c r="E1787" s="1">
        <v>41306</v>
      </c>
      <c r="F1787">
        <f t="shared" si="54"/>
        <v>2</v>
      </c>
      <c r="G1787">
        <f t="shared" si="55"/>
        <v>2013</v>
      </c>
    </row>
    <row r="1788" spans="1:7" x14ac:dyDescent="0.25">
      <c r="A1788" t="s">
        <v>12</v>
      </c>
      <c r="B1788" t="s">
        <v>7</v>
      </c>
      <c r="C1788">
        <v>113.01</v>
      </c>
      <c r="D1788">
        <v>114.90721000000001</v>
      </c>
      <c r="E1788" s="1">
        <v>41334</v>
      </c>
      <c r="F1788">
        <f t="shared" si="54"/>
        <v>3</v>
      </c>
      <c r="G1788">
        <f t="shared" si="55"/>
        <v>2013</v>
      </c>
    </row>
    <row r="1789" spans="1:7" x14ac:dyDescent="0.25">
      <c r="A1789" t="s">
        <v>12</v>
      </c>
      <c r="B1789" t="s">
        <v>7</v>
      </c>
      <c r="C1789">
        <v>114.81</v>
      </c>
      <c r="D1789">
        <v>111.74124999999999</v>
      </c>
      <c r="E1789" s="1">
        <v>41365</v>
      </c>
      <c r="F1789">
        <f t="shared" si="54"/>
        <v>4</v>
      </c>
      <c r="G1789">
        <f t="shared" si="55"/>
        <v>2013</v>
      </c>
    </row>
    <row r="1790" spans="1:7" x14ac:dyDescent="0.25">
      <c r="A1790" t="s">
        <v>12</v>
      </c>
      <c r="B1790" t="s">
        <v>7</v>
      </c>
      <c r="C1790">
        <v>115.42</v>
      </c>
      <c r="D1790">
        <v>110.42852000000001</v>
      </c>
      <c r="E1790" s="1">
        <v>41395</v>
      </c>
      <c r="F1790">
        <f t="shared" si="54"/>
        <v>5</v>
      </c>
      <c r="G1790">
        <f t="shared" si="55"/>
        <v>2013</v>
      </c>
    </row>
    <row r="1791" spans="1:7" x14ac:dyDescent="0.25">
      <c r="A1791" t="s">
        <v>12</v>
      </c>
      <c r="B1791" t="s">
        <v>7</v>
      </c>
      <c r="C1791">
        <v>116</v>
      </c>
      <c r="D1791">
        <v>108.24182</v>
      </c>
      <c r="E1791" s="1">
        <v>41426</v>
      </c>
      <c r="F1791">
        <f t="shared" si="54"/>
        <v>6</v>
      </c>
      <c r="G1791">
        <f t="shared" si="55"/>
        <v>2013</v>
      </c>
    </row>
    <row r="1792" spans="1:7" x14ac:dyDescent="0.25">
      <c r="A1792" t="s">
        <v>12</v>
      </c>
      <c r="B1792" t="s">
        <v>7</v>
      </c>
      <c r="C1792">
        <v>117.62</v>
      </c>
      <c r="D1792">
        <v>112.74539</v>
      </c>
      <c r="E1792" s="1">
        <v>41456</v>
      </c>
      <c r="F1792">
        <f t="shared" si="54"/>
        <v>7</v>
      </c>
      <c r="G1792">
        <f t="shared" si="55"/>
        <v>2013</v>
      </c>
    </row>
    <row r="1793" spans="1:7" x14ac:dyDescent="0.25">
      <c r="A1793" t="s">
        <v>12</v>
      </c>
      <c r="B1793" t="s">
        <v>7</v>
      </c>
      <c r="C1793">
        <v>113.07</v>
      </c>
      <c r="D1793">
        <v>114.58732000000001</v>
      </c>
      <c r="E1793" s="1">
        <v>41487</v>
      </c>
      <c r="F1793">
        <f t="shared" si="54"/>
        <v>8</v>
      </c>
      <c r="G1793">
        <f t="shared" si="55"/>
        <v>2013</v>
      </c>
    </row>
    <row r="1794" spans="1:7" x14ac:dyDescent="0.25">
      <c r="A1794" t="s">
        <v>12</v>
      </c>
      <c r="B1794" t="s">
        <v>7</v>
      </c>
      <c r="C1794">
        <v>115.05</v>
      </c>
      <c r="D1794">
        <v>110.27936</v>
      </c>
      <c r="E1794" s="1">
        <v>41518</v>
      </c>
      <c r="F1794">
        <f t="shared" ref="F1794:F1857" si="56">MONTH(E1794)</f>
        <v>9</v>
      </c>
      <c r="G1794">
        <f t="shared" ref="G1794:G1857" si="57">YEAR(E1794)</f>
        <v>2013</v>
      </c>
    </row>
    <row r="1795" spans="1:7" x14ac:dyDescent="0.25">
      <c r="A1795" t="s">
        <v>12</v>
      </c>
      <c r="B1795" t="s">
        <v>7</v>
      </c>
      <c r="C1795">
        <v>113.83</v>
      </c>
      <c r="D1795">
        <v>116.21944000000001</v>
      </c>
      <c r="E1795" s="1">
        <v>41548</v>
      </c>
      <c r="F1795">
        <f t="shared" si="56"/>
        <v>10</v>
      </c>
      <c r="G1795">
        <f t="shared" si="57"/>
        <v>2013</v>
      </c>
    </row>
    <row r="1796" spans="1:7" x14ac:dyDescent="0.25">
      <c r="A1796" t="s">
        <v>12</v>
      </c>
      <c r="B1796" t="s">
        <v>7</v>
      </c>
      <c r="C1796">
        <v>116.07</v>
      </c>
      <c r="D1796">
        <v>121.62504</v>
      </c>
      <c r="E1796" s="1">
        <v>41579</v>
      </c>
      <c r="F1796">
        <f t="shared" si="56"/>
        <v>11</v>
      </c>
      <c r="G1796">
        <f t="shared" si="57"/>
        <v>2013</v>
      </c>
    </row>
    <row r="1797" spans="1:7" x14ac:dyDescent="0.25">
      <c r="A1797" t="s">
        <v>12</v>
      </c>
      <c r="B1797" t="s">
        <v>7</v>
      </c>
      <c r="C1797">
        <v>114.09</v>
      </c>
      <c r="D1797">
        <v>130.17196000000001</v>
      </c>
      <c r="E1797" s="1">
        <v>41609</v>
      </c>
      <c r="F1797">
        <f t="shared" si="56"/>
        <v>12</v>
      </c>
      <c r="G1797">
        <f t="shared" si="57"/>
        <v>2013</v>
      </c>
    </row>
    <row r="1798" spans="1:7" x14ac:dyDescent="0.25">
      <c r="A1798" t="s">
        <v>12</v>
      </c>
      <c r="B1798" t="s">
        <v>7</v>
      </c>
      <c r="C1798">
        <v>120.81</v>
      </c>
      <c r="D1798">
        <v>127.18552</v>
      </c>
      <c r="E1798" s="1">
        <v>41640</v>
      </c>
      <c r="F1798">
        <f t="shared" si="56"/>
        <v>1</v>
      </c>
      <c r="G1798">
        <f t="shared" si="57"/>
        <v>2014</v>
      </c>
    </row>
    <row r="1799" spans="1:7" x14ac:dyDescent="0.25">
      <c r="A1799" t="s">
        <v>12</v>
      </c>
      <c r="B1799" t="s">
        <v>7</v>
      </c>
      <c r="C1799">
        <v>114.54</v>
      </c>
      <c r="D1799">
        <v>107.95386000000001</v>
      </c>
      <c r="E1799" s="1">
        <v>41671</v>
      </c>
      <c r="F1799">
        <f t="shared" si="56"/>
        <v>2</v>
      </c>
      <c r="G1799">
        <f t="shared" si="57"/>
        <v>2014</v>
      </c>
    </row>
    <row r="1800" spans="1:7" x14ac:dyDescent="0.25">
      <c r="A1800" t="s">
        <v>12</v>
      </c>
      <c r="B1800" t="s">
        <v>7</v>
      </c>
      <c r="C1800">
        <v>113.22</v>
      </c>
      <c r="D1800">
        <v>113.15133</v>
      </c>
      <c r="E1800" s="1">
        <v>41699</v>
      </c>
      <c r="F1800">
        <f t="shared" si="56"/>
        <v>3</v>
      </c>
      <c r="G1800">
        <f t="shared" si="57"/>
        <v>2014</v>
      </c>
    </row>
    <row r="1801" spans="1:7" x14ac:dyDescent="0.25">
      <c r="A1801" t="s">
        <v>12</v>
      </c>
      <c r="B1801" t="s">
        <v>7</v>
      </c>
      <c r="C1801">
        <v>112.02</v>
      </c>
      <c r="D1801">
        <v>108.42013</v>
      </c>
      <c r="E1801" s="1">
        <v>41730</v>
      </c>
      <c r="F1801">
        <f t="shared" si="56"/>
        <v>4</v>
      </c>
      <c r="G1801">
        <f t="shared" si="57"/>
        <v>2014</v>
      </c>
    </row>
    <row r="1802" spans="1:7" x14ac:dyDescent="0.25">
      <c r="A1802" t="s">
        <v>12</v>
      </c>
      <c r="B1802" t="s">
        <v>7</v>
      </c>
      <c r="C1802">
        <v>111.27</v>
      </c>
      <c r="D1802">
        <v>107.77912999999999</v>
      </c>
      <c r="E1802" s="1">
        <v>41760</v>
      </c>
      <c r="F1802">
        <f t="shared" si="56"/>
        <v>5</v>
      </c>
      <c r="G1802">
        <f t="shared" si="57"/>
        <v>2014</v>
      </c>
    </row>
    <row r="1803" spans="1:7" x14ac:dyDescent="0.25">
      <c r="A1803" t="s">
        <v>12</v>
      </c>
      <c r="B1803" t="s">
        <v>7</v>
      </c>
      <c r="C1803">
        <v>107.02</v>
      </c>
      <c r="D1803">
        <v>98.514269999999996</v>
      </c>
      <c r="E1803" s="1">
        <v>41791</v>
      </c>
      <c r="F1803">
        <f t="shared" si="56"/>
        <v>6</v>
      </c>
      <c r="G1803">
        <f t="shared" si="57"/>
        <v>2014</v>
      </c>
    </row>
    <row r="1804" spans="1:7" x14ac:dyDescent="0.25">
      <c r="A1804" t="s">
        <v>12</v>
      </c>
      <c r="B1804" t="s">
        <v>7</v>
      </c>
      <c r="C1804">
        <v>105.87</v>
      </c>
      <c r="D1804">
        <v>100.58991</v>
      </c>
      <c r="E1804" s="1">
        <v>41821</v>
      </c>
      <c r="F1804">
        <f t="shared" si="56"/>
        <v>7</v>
      </c>
      <c r="G1804">
        <f t="shared" si="57"/>
        <v>2014</v>
      </c>
    </row>
    <row r="1805" spans="1:7" x14ac:dyDescent="0.25">
      <c r="A1805" t="s">
        <v>12</v>
      </c>
      <c r="B1805" t="s">
        <v>7</v>
      </c>
      <c r="C1805">
        <v>112.85</v>
      </c>
      <c r="D1805">
        <v>112.63137999999999</v>
      </c>
      <c r="E1805" s="1">
        <v>41852</v>
      </c>
      <c r="F1805">
        <f t="shared" si="56"/>
        <v>8</v>
      </c>
      <c r="G1805">
        <f t="shared" si="57"/>
        <v>2014</v>
      </c>
    </row>
    <row r="1806" spans="1:7" x14ac:dyDescent="0.25">
      <c r="A1806" t="s">
        <v>12</v>
      </c>
      <c r="B1806" t="s">
        <v>7</v>
      </c>
      <c r="C1806">
        <v>109.39</v>
      </c>
      <c r="D1806">
        <v>105.87933</v>
      </c>
      <c r="E1806" s="1">
        <v>41883</v>
      </c>
      <c r="F1806">
        <f t="shared" si="56"/>
        <v>9</v>
      </c>
      <c r="G1806">
        <f t="shared" si="57"/>
        <v>2014</v>
      </c>
    </row>
    <row r="1807" spans="1:7" x14ac:dyDescent="0.25">
      <c r="A1807" t="s">
        <v>12</v>
      </c>
      <c r="B1807" t="s">
        <v>7</v>
      </c>
      <c r="C1807">
        <v>111.18</v>
      </c>
      <c r="D1807">
        <v>115.03673000000001</v>
      </c>
      <c r="E1807" s="1">
        <v>41913</v>
      </c>
      <c r="F1807">
        <f t="shared" si="56"/>
        <v>10</v>
      </c>
      <c r="G1807">
        <f t="shared" si="57"/>
        <v>2014</v>
      </c>
    </row>
    <row r="1808" spans="1:7" x14ac:dyDescent="0.25">
      <c r="A1808" t="s">
        <v>12</v>
      </c>
      <c r="B1808" t="s">
        <v>7</v>
      </c>
      <c r="C1808">
        <v>108.76</v>
      </c>
      <c r="D1808">
        <v>111.57043</v>
      </c>
      <c r="E1808" s="1">
        <v>41944</v>
      </c>
      <c r="F1808">
        <f t="shared" si="56"/>
        <v>11</v>
      </c>
      <c r="G1808">
        <f t="shared" si="57"/>
        <v>2014</v>
      </c>
    </row>
    <row r="1809" spans="1:7" x14ac:dyDescent="0.25">
      <c r="A1809" t="s">
        <v>12</v>
      </c>
      <c r="B1809" t="s">
        <v>7</v>
      </c>
      <c r="C1809">
        <v>115.43</v>
      </c>
      <c r="D1809">
        <v>132.37721999999999</v>
      </c>
      <c r="E1809" s="1">
        <v>41974</v>
      </c>
      <c r="F1809">
        <f t="shared" si="56"/>
        <v>12</v>
      </c>
      <c r="G1809">
        <f t="shared" si="57"/>
        <v>2014</v>
      </c>
    </row>
    <row r="1810" spans="1:7" x14ac:dyDescent="0.25">
      <c r="A1810" t="s">
        <v>12</v>
      </c>
      <c r="B1810" t="s">
        <v>7</v>
      </c>
      <c r="C1810">
        <v>116.97</v>
      </c>
      <c r="D1810">
        <v>124.73737</v>
      </c>
      <c r="E1810" s="1">
        <v>42005</v>
      </c>
      <c r="F1810">
        <f t="shared" si="56"/>
        <v>1</v>
      </c>
      <c r="G1810">
        <f t="shared" si="57"/>
        <v>2015</v>
      </c>
    </row>
    <row r="1811" spans="1:7" x14ac:dyDescent="0.25">
      <c r="A1811" t="s">
        <v>12</v>
      </c>
      <c r="B1811" t="s">
        <v>7</v>
      </c>
      <c r="C1811">
        <v>115.04</v>
      </c>
      <c r="D1811">
        <v>107.2025</v>
      </c>
      <c r="E1811" s="1">
        <v>42036</v>
      </c>
      <c r="F1811">
        <f t="shared" si="56"/>
        <v>2</v>
      </c>
      <c r="G1811">
        <f t="shared" si="57"/>
        <v>2015</v>
      </c>
    </row>
    <row r="1812" spans="1:7" x14ac:dyDescent="0.25">
      <c r="A1812" t="s">
        <v>12</v>
      </c>
      <c r="B1812" t="s">
        <v>7</v>
      </c>
      <c r="C1812">
        <v>111.67</v>
      </c>
      <c r="D1812">
        <v>111.30195999999999</v>
      </c>
      <c r="E1812" s="1">
        <v>42064</v>
      </c>
      <c r="F1812">
        <f t="shared" si="56"/>
        <v>3</v>
      </c>
      <c r="G1812">
        <f t="shared" si="57"/>
        <v>2015</v>
      </c>
    </row>
    <row r="1813" spans="1:7" x14ac:dyDescent="0.25">
      <c r="A1813" t="s">
        <v>12</v>
      </c>
      <c r="B1813" t="s">
        <v>7</v>
      </c>
      <c r="C1813">
        <v>108.15</v>
      </c>
      <c r="D1813">
        <v>104.39173</v>
      </c>
      <c r="E1813" s="1">
        <v>42095</v>
      </c>
      <c r="F1813">
        <f t="shared" si="56"/>
        <v>4</v>
      </c>
      <c r="G1813">
        <f t="shared" si="57"/>
        <v>2015</v>
      </c>
    </row>
    <row r="1814" spans="1:7" x14ac:dyDescent="0.25">
      <c r="A1814" t="s">
        <v>12</v>
      </c>
      <c r="B1814" t="s">
        <v>7</v>
      </c>
      <c r="C1814">
        <v>104.3</v>
      </c>
      <c r="D1814">
        <v>99.997470000000007</v>
      </c>
      <c r="E1814" s="1">
        <v>42125</v>
      </c>
      <c r="F1814">
        <f t="shared" si="56"/>
        <v>5</v>
      </c>
      <c r="G1814">
        <f t="shared" si="57"/>
        <v>2015</v>
      </c>
    </row>
    <row r="1815" spans="1:7" x14ac:dyDescent="0.25">
      <c r="A1815" t="s">
        <v>12</v>
      </c>
      <c r="B1815" t="s">
        <v>7</v>
      </c>
      <c r="C1815">
        <v>109.51</v>
      </c>
      <c r="D1815">
        <v>102.54116</v>
      </c>
      <c r="E1815" s="1">
        <v>42156</v>
      </c>
      <c r="F1815">
        <f t="shared" si="56"/>
        <v>6</v>
      </c>
      <c r="G1815">
        <f t="shared" si="57"/>
        <v>2015</v>
      </c>
    </row>
    <row r="1816" spans="1:7" x14ac:dyDescent="0.25">
      <c r="A1816" t="s">
        <v>12</v>
      </c>
      <c r="B1816" t="s">
        <v>7</v>
      </c>
      <c r="C1816">
        <v>102.28</v>
      </c>
      <c r="D1816">
        <v>98.994010000000003</v>
      </c>
      <c r="E1816" s="1">
        <v>42186</v>
      </c>
      <c r="F1816">
        <f t="shared" si="56"/>
        <v>7</v>
      </c>
      <c r="G1816">
        <f t="shared" si="57"/>
        <v>2015</v>
      </c>
    </row>
    <row r="1817" spans="1:7" x14ac:dyDescent="0.25">
      <c r="A1817" t="s">
        <v>12</v>
      </c>
      <c r="B1817" t="s">
        <v>7</v>
      </c>
      <c r="C1817">
        <v>105.91</v>
      </c>
      <c r="D1817">
        <v>104.69969</v>
      </c>
      <c r="E1817" s="1">
        <v>42217</v>
      </c>
      <c r="F1817">
        <f t="shared" si="56"/>
        <v>8</v>
      </c>
      <c r="G1817">
        <f t="shared" si="57"/>
        <v>2015</v>
      </c>
    </row>
    <row r="1818" spans="1:7" x14ac:dyDescent="0.25">
      <c r="A1818" t="s">
        <v>12</v>
      </c>
      <c r="B1818" t="s">
        <v>7</v>
      </c>
      <c r="C1818">
        <v>103.1</v>
      </c>
      <c r="D1818">
        <v>99.45993</v>
      </c>
      <c r="E1818" s="1">
        <v>42248</v>
      </c>
      <c r="F1818">
        <f t="shared" si="56"/>
        <v>9</v>
      </c>
      <c r="G1818">
        <f t="shared" si="57"/>
        <v>2015</v>
      </c>
    </row>
    <row r="1819" spans="1:7" x14ac:dyDescent="0.25">
      <c r="A1819" t="s">
        <v>12</v>
      </c>
      <c r="B1819" t="s">
        <v>7</v>
      </c>
      <c r="C1819">
        <v>105.39</v>
      </c>
      <c r="D1819">
        <v>111.35656</v>
      </c>
      <c r="E1819" s="1">
        <v>42278</v>
      </c>
      <c r="F1819">
        <f t="shared" si="56"/>
        <v>10</v>
      </c>
      <c r="G1819">
        <f t="shared" si="57"/>
        <v>2015</v>
      </c>
    </row>
    <row r="1820" spans="1:7" x14ac:dyDescent="0.25">
      <c r="A1820" t="s">
        <v>12</v>
      </c>
      <c r="B1820" t="s">
        <v>7</v>
      </c>
      <c r="C1820">
        <v>104.4</v>
      </c>
      <c r="D1820">
        <v>105.73394999999999</v>
      </c>
      <c r="E1820" s="1">
        <v>42309</v>
      </c>
      <c r="F1820">
        <f t="shared" si="56"/>
        <v>11</v>
      </c>
      <c r="G1820">
        <f t="shared" si="57"/>
        <v>2015</v>
      </c>
    </row>
    <row r="1821" spans="1:7" x14ac:dyDescent="0.25">
      <c r="A1821" t="s">
        <v>12</v>
      </c>
      <c r="B1821" t="s">
        <v>7</v>
      </c>
      <c r="C1821">
        <v>108.94</v>
      </c>
      <c r="D1821">
        <v>123.97611000000001</v>
      </c>
      <c r="E1821" s="1">
        <v>42339</v>
      </c>
      <c r="F1821">
        <f t="shared" si="56"/>
        <v>12</v>
      </c>
      <c r="G1821">
        <f t="shared" si="57"/>
        <v>2015</v>
      </c>
    </row>
    <row r="1822" spans="1:7" x14ac:dyDescent="0.25">
      <c r="A1822" t="s">
        <v>12</v>
      </c>
      <c r="B1822" t="s">
        <v>7</v>
      </c>
      <c r="C1822">
        <v>114.43</v>
      </c>
      <c r="D1822">
        <v>120.42474</v>
      </c>
      <c r="E1822" s="1">
        <v>42370</v>
      </c>
      <c r="F1822">
        <f t="shared" si="56"/>
        <v>1</v>
      </c>
      <c r="G1822">
        <f t="shared" si="57"/>
        <v>2016</v>
      </c>
    </row>
    <row r="1823" spans="1:7" x14ac:dyDescent="0.25">
      <c r="A1823" t="s">
        <v>12</v>
      </c>
      <c r="B1823" t="s">
        <v>7</v>
      </c>
      <c r="C1823">
        <v>110.09</v>
      </c>
      <c r="D1823">
        <v>104.49481</v>
      </c>
      <c r="E1823" s="1">
        <v>42401</v>
      </c>
      <c r="F1823">
        <f t="shared" si="56"/>
        <v>2</v>
      </c>
      <c r="G1823">
        <f t="shared" si="57"/>
        <v>2016</v>
      </c>
    </row>
    <row r="1824" spans="1:7" x14ac:dyDescent="0.25">
      <c r="A1824" t="s">
        <v>12</v>
      </c>
      <c r="B1824" t="s">
        <v>7</v>
      </c>
      <c r="C1824">
        <v>106.97</v>
      </c>
      <c r="D1824">
        <v>107.06858</v>
      </c>
      <c r="E1824" s="1">
        <v>42430</v>
      </c>
      <c r="F1824">
        <f t="shared" si="56"/>
        <v>3</v>
      </c>
      <c r="G1824">
        <f t="shared" si="57"/>
        <v>2016</v>
      </c>
    </row>
    <row r="1825" spans="1:7" x14ac:dyDescent="0.25">
      <c r="A1825" t="s">
        <v>12</v>
      </c>
      <c r="B1825" t="s">
        <v>7</v>
      </c>
      <c r="C1825">
        <v>105.56</v>
      </c>
      <c r="D1825">
        <v>104.81456</v>
      </c>
      <c r="E1825" s="1">
        <v>42461</v>
      </c>
      <c r="F1825">
        <f t="shared" si="56"/>
        <v>4</v>
      </c>
      <c r="G1825">
        <f t="shared" si="57"/>
        <v>2016</v>
      </c>
    </row>
    <row r="1826" spans="1:7" x14ac:dyDescent="0.25">
      <c r="A1826" t="s">
        <v>12</v>
      </c>
      <c r="B1826" t="s">
        <v>7</v>
      </c>
      <c r="C1826">
        <v>100.84</v>
      </c>
      <c r="D1826">
        <v>94.381169999999997</v>
      </c>
      <c r="E1826" s="1">
        <v>42491</v>
      </c>
      <c r="F1826">
        <f t="shared" si="56"/>
        <v>5</v>
      </c>
      <c r="G1826">
        <f t="shared" si="57"/>
        <v>2016</v>
      </c>
    </row>
    <row r="1827" spans="1:7" x14ac:dyDescent="0.25">
      <c r="A1827" t="s">
        <v>12</v>
      </c>
      <c r="B1827" t="s">
        <v>7</v>
      </c>
      <c r="C1827">
        <v>100.19</v>
      </c>
      <c r="D1827">
        <v>93.890739999999994</v>
      </c>
      <c r="E1827" s="1">
        <v>42522</v>
      </c>
      <c r="F1827">
        <f t="shared" si="56"/>
        <v>6</v>
      </c>
      <c r="G1827">
        <f t="shared" si="57"/>
        <v>2016</v>
      </c>
    </row>
    <row r="1828" spans="1:7" x14ac:dyDescent="0.25">
      <c r="A1828" t="s">
        <v>12</v>
      </c>
      <c r="B1828" t="s">
        <v>7</v>
      </c>
      <c r="C1828">
        <v>101.93</v>
      </c>
      <c r="D1828">
        <v>100.78815</v>
      </c>
      <c r="E1828" s="1">
        <v>42552</v>
      </c>
      <c r="F1828">
        <f t="shared" si="56"/>
        <v>7</v>
      </c>
      <c r="G1828">
        <f t="shared" si="57"/>
        <v>2016</v>
      </c>
    </row>
    <row r="1829" spans="1:7" x14ac:dyDescent="0.25">
      <c r="A1829" t="s">
        <v>12</v>
      </c>
      <c r="B1829" t="s">
        <v>7</v>
      </c>
      <c r="C1829">
        <v>98.32</v>
      </c>
      <c r="D1829">
        <v>96.024780000000007</v>
      </c>
      <c r="E1829" s="1">
        <v>42583</v>
      </c>
      <c r="F1829">
        <f t="shared" si="56"/>
        <v>8</v>
      </c>
      <c r="G1829">
        <f t="shared" si="57"/>
        <v>2016</v>
      </c>
    </row>
    <row r="1830" spans="1:7" x14ac:dyDescent="0.25">
      <c r="A1830" t="s">
        <v>12</v>
      </c>
      <c r="B1830" t="s">
        <v>7</v>
      </c>
      <c r="C1830">
        <v>98.84</v>
      </c>
      <c r="D1830">
        <v>96.57723</v>
      </c>
      <c r="E1830" s="1">
        <v>42614</v>
      </c>
      <c r="F1830">
        <f t="shared" si="56"/>
        <v>9</v>
      </c>
      <c r="G1830">
        <f t="shared" si="57"/>
        <v>2016</v>
      </c>
    </row>
    <row r="1831" spans="1:7" x14ac:dyDescent="0.25">
      <c r="A1831" t="s">
        <v>12</v>
      </c>
      <c r="B1831" t="s">
        <v>7</v>
      </c>
      <c r="C1831">
        <v>101.94</v>
      </c>
      <c r="D1831">
        <v>107.1613</v>
      </c>
      <c r="E1831" s="1">
        <v>42644</v>
      </c>
      <c r="F1831">
        <f t="shared" si="56"/>
        <v>10</v>
      </c>
      <c r="G1831">
        <f t="shared" si="57"/>
        <v>2016</v>
      </c>
    </row>
    <row r="1832" spans="1:7" x14ac:dyDescent="0.25">
      <c r="A1832" t="s">
        <v>12</v>
      </c>
      <c r="B1832" t="s">
        <v>7</v>
      </c>
      <c r="C1832">
        <v>100.98</v>
      </c>
      <c r="D1832">
        <v>102.68225</v>
      </c>
      <c r="E1832" s="1">
        <v>42675</v>
      </c>
      <c r="F1832">
        <f t="shared" si="56"/>
        <v>11</v>
      </c>
      <c r="G1832">
        <f t="shared" si="57"/>
        <v>2016</v>
      </c>
    </row>
    <row r="1833" spans="1:7" x14ac:dyDescent="0.25">
      <c r="A1833" t="s">
        <v>12</v>
      </c>
      <c r="B1833" t="s">
        <v>7</v>
      </c>
      <c r="C1833">
        <v>110.81</v>
      </c>
      <c r="D1833">
        <v>126.64639</v>
      </c>
      <c r="E1833" s="1">
        <v>42705</v>
      </c>
      <c r="F1833">
        <f t="shared" si="56"/>
        <v>12</v>
      </c>
      <c r="G1833">
        <f t="shared" si="57"/>
        <v>2016</v>
      </c>
    </row>
    <row r="1834" spans="1:7" x14ac:dyDescent="0.25">
      <c r="A1834" t="s">
        <v>12</v>
      </c>
      <c r="B1834" t="s">
        <v>7</v>
      </c>
      <c r="C1834">
        <v>98.25</v>
      </c>
      <c r="D1834">
        <v>101.08761</v>
      </c>
      <c r="E1834" s="1">
        <v>42736</v>
      </c>
      <c r="F1834">
        <f t="shared" si="56"/>
        <v>1</v>
      </c>
      <c r="G1834">
        <f t="shared" si="57"/>
        <v>2017</v>
      </c>
    </row>
    <row r="1835" spans="1:7" x14ac:dyDescent="0.25">
      <c r="A1835" t="s">
        <v>12</v>
      </c>
      <c r="B1835" t="s">
        <v>7</v>
      </c>
      <c r="C1835">
        <v>98.48</v>
      </c>
      <c r="D1835">
        <v>88.897639999999996</v>
      </c>
      <c r="E1835" s="1">
        <v>42767</v>
      </c>
      <c r="F1835">
        <f t="shared" si="56"/>
        <v>2</v>
      </c>
      <c r="G1835">
        <f t="shared" si="57"/>
        <v>2017</v>
      </c>
    </row>
    <row r="1836" spans="1:7" x14ac:dyDescent="0.25">
      <c r="A1836" t="s">
        <v>12</v>
      </c>
      <c r="B1836" t="s">
        <v>7</v>
      </c>
      <c r="C1836">
        <v>96.86</v>
      </c>
      <c r="D1836">
        <v>97.677419999999998</v>
      </c>
      <c r="E1836" s="1">
        <v>42795</v>
      </c>
      <c r="F1836">
        <f t="shared" si="56"/>
        <v>3</v>
      </c>
      <c r="G1836">
        <f t="shared" si="57"/>
        <v>2017</v>
      </c>
    </row>
    <row r="1837" spans="1:7" x14ac:dyDescent="0.25">
      <c r="A1837" t="s">
        <v>12</v>
      </c>
      <c r="B1837" t="s">
        <v>7</v>
      </c>
      <c r="C1837">
        <v>98.8</v>
      </c>
      <c r="D1837">
        <v>96.546149999999997</v>
      </c>
      <c r="E1837" s="1">
        <v>42826</v>
      </c>
      <c r="F1837">
        <f t="shared" si="56"/>
        <v>4</v>
      </c>
      <c r="G1837">
        <f t="shared" si="57"/>
        <v>2017</v>
      </c>
    </row>
    <row r="1838" spans="1:7" x14ac:dyDescent="0.25">
      <c r="A1838" t="s">
        <v>12</v>
      </c>
      <c r="B1838" t="s">
        <v>7</v>
      </c>
      <c r="C1838">
        <v>103.78</v>
      </c>
      <c r="D1838">
        <v>100.221</v>
      </c>
      <c r="E1838" s="1">
        <v>42856</v>
      </c>
      <c r="F1838">
        <f t="shared" si="56"/>
        <v>5</v>
      </c>
      <c r="G1838">
        <f t="shared" si="57"/>
        <v>2017</v>
      </c>
    </row>
    <row r="1839" spans="1:7" x14ac:dyDescent="0.25">
      <c r="A1839" t="s">
        <v>12</v>
      </c>
      <c r="B1839" t="s">
        <v>7</v>
      </c>
      <c r="C1839">
        <v>107.4</v>
      </c>
      <c r="D1839">
        <v>102.02325999999999</v>
      </c>
      <c r="E1839" s="1">
        <v>42887</v>
      </c>
      <c r="F1839">
        <f t="shared" si="56"/>
        <v>6</v>
      </c>
      <c r="G1839">
        <f t="shared" si="57"/>
        <v>2017</v>
      </c>
    </row>
    <row r="1840" spans="1:7" x14ac:dyDescent="0.25">
      <c r="A1840" t="s">
        <v>12</v>
      </c>
      <c r="B1840" t="s">
        <v>7</v>
      </c>
      <c r="C1840">
        <v>103.59</v>
      </c>
      <c r="D1840">
        <v>103.49514000000001</v>
      </c>
      <c r="E1840" s="1">
        <v>42917</v>
      </c>
      <c r="F1840">
        <f t="shared" si="56"/>
        <v>7</v>
      </c>
      <c r="G1840">
        <f t="shared" si="57"/>
        <v>2017</v>
      </c>
    </row>
    <row r="1841" spans="1:7" x14ac:dyDescent="0.25">
      <c r="A1841" t="s">
        <v>12</v>
      </c>
      <c r="B1841" t="s">
        <v>7</v>
      </c>
      <c r="C1841">
        <v>99.85</v>
      </c>
      <c r="D1841">
        <v>96.256129999999999</v>
      </c>
      <c r="E1841" s="1">
        <v>42948</v>
      </c>
      <c r="F1841">
        <f t="shared" si="56"/>
        <v>8</v>
      </c>
      <c r="G1841">
        <f t="shared" si="57"/>
        <v>2017</v>
      </c>
    </row>
    <row r="1842" spans="1:7" x14ac:dyDescent="0.25">
      <c r="A1842" t="s">
        <v>12</v>
      </c>
      <c r="B1842" t="s">
        <v>7</v>
      </c>
      <c r="C1842">
        <v>102.78</v>
      </c>
      <c r="D1842">
        <v>103.3442</v>
      </c>
      <c r="E1842" s="1">
        <v>42979</v>
      </c>
      <c r="F1842">
        <f t="shared" si="56"/>
        <v>9</v>
      </c>
      <c r="G1842">
        <f t="shared" si="57"/>
        <v>2017</v>
      </c>
    </row>
    <row r="1843" spans="1:7" x14ac:dyDescent="0.25">
      <c r="A1843" t="s">
        <v>12</v>
      </c>
      <c r="B1843" t="s">
        <v>7</v>
      </c>
      <c r="C1843">
        <v>99.25</v>
      </c>
      <c r="D1843">
        <v>103.23519</v>
      </c>
      <c r="E1843" s="1">
        <v>43009</v>
      </c>
      <c r="F1843">
        <f t="shared" si="56"/>
        <v>10</v>
      </c>
      <c r="G1843">
        <f t="shared" si="57"/>
        <v>2017</v>
      </c>
    </row>
    <row r="1844" spans="1:7" x14ac:dyDescent="0.25">
      <c r="A1844" t="s">
        <v>12</v>
      </c>
      <c r="B1844" t="s">
        <v>7</v>
      </c>
      <c r="C1844">
        <v>100.36</v>
      </c>
      <c r="D1844">
        <v>102.03701</v>
      </c>
      <c r="E1844" s="1">
        <v>43040</v>
      </c>
      <c r="F1844">
        <f t="shared" si="56"/>
        <v>11</v>
      </c>
      <c r="G1844">
        <f t="shared" si="57"/>
        <v>2017</v>
      </c>
    </row>
    <row r="1845" spans="1:7" x14ac:dyDescent="0.25">
      <c r="A1845" t="s">
        <v>12</v>
      </c>
      <c r="B1845" t="s">
        <v>7</v>
      </c>
      <c r="C1845">
        <v>96.53</v>
      </c>
      <c r="D1845">
        <v>109.57808</v>
      </c>
      <c r="E1845" s="1">
        <v>43070</v>
      </c>
      <c r="F1845">
        <f t="shared" si="56"/>
        <v>12</v>
      </c>
      <c r="G1845">
        <f t="shared" si="57"/>
        <v>2017</v>
      </c>
    </row>
    <row r="1846" spans="1:7" x14ac:dyDescent="0.25">
      <c r="A1846" t="s">
        <v>12</v>
      </c>
      <c r="B1846" t="s">
        <v>7</v>
      </c>
      <c r="C1846">
        <v>92.42</v>
      </c>
      <c r="D1846">
        <v>95.096590000000006</v>
      </c>
      <c r="E1846" s="1">
        <v>43101</v>
      </c>
      <c r="F1846">
        <f t="shared" si="56"/>
        <v>1</v>
      </c>
      <c r="G1846">
        <f t="shared" si="57"/>
        <v>2018</v>
      </c>
    </row>
    <row r="1847" spans="1:7" x14ac:dyDescent="0.25">
      <c r="A1847" t="s">
        <v>12</v>
      </c>
      <c r="B1847" t="s">
        <v>7</v>
      </c>
      <c r="C1847">
        <v>95.59</v>
      </c>
      <c r="D1847">
        <v>84.768339999999995</v>
      </c>
      <c r="E1847" s="1">
        <v>43132</v>
      </c>
      <c r="F1847">
        <f t="shared" si="56"/>
        <v>2</v>
      </c>
      <c r="G1847">
        <f t="shared" si="57"/>
        <v>2018</v>
      </c>
    </row>
    <row r="1848" spans="1:7" x14ac:dyDescent="0.25">
      <c r="A1848" t="s">
        <v>12</v>
      </c>
      <c r="B1848" t="s">
        <v>7</v>
      </c>
      <c r="C1848">
        <v>102.46</v>
      </c>
      <c r="D1848">
        <v>104.63634999999999</v>
      </c>
      <c r="E1848" s="1">
        <v>43160</v>
      </c>
      <c r="F1848">
        <f t="shared" si="56"/>
        <v>3</v>
      </c>
      <c r="G1848">
        <f t="shared" si="57"/>
        <v>2018</v>
      </c>
    </row>
    <row r="1849" spans="1:7" x14ac:dyDescent="0.25">
      <c r="A1849" t="s">
        <v>12</v>
      </c>
      <c r="B1849" t="s">
        <v>7</v>
      </c>
      <c r="C1849">
        <v>103.67</v>
      </c>
      <c r="D1849">
        <v>100.36566999999999</v>
      </c>
      <c r="E1849" s="1">
        <v>43191</v>
      </c>
      <c r="F1849">
        <f t="shared" si="56"/>
        <v>4</v>
      </c>
      <c r="G1849">
        <f t="shared" si="57"/>
        <v>2018</v>
      </c>
    </row>
    <row r="1850" spans="1:7" x14ac:dyDescent="0.25">
      <c r="A1850" t="s">
        <v>12</v>
      </c>
      <c r="B1850" t="s">
        <v>7</v>
      </c>
      <c r="C1850">
        <v>99.56</v>
      </c>
      <c r="D1850">
        <v>96.490279999999998</v>
      </c>
      <c r="E1850" s="1">
        <v>43221</v>
      </c>
      <c r="F1850">
        <f t="shared" si="56"/>
        <v>5</v>
      </c>
      <c r="G1850">
        <f t="shared" si="57"/>
        <v>2018</v>
      </c>
    </row>
    <row r="1851" spans="1:7" x14ac:dyDescent="0.25">
      <c r="A1851" t="s">
        <v>12</v>
      </c>
      <c r="B1851" t="s">
        <v>7</v>
      </c>
      <c r="C1851">
        <v>102.2</v>
      </c>
      <c r="D1851">
        <v>99.597560000000001</v>
      </c>
      <c r="E1851" s="1">
        <v>43252</v>
      </c>
      <c r="F1851">
        <f t="shared" si="56"/>
        <v>6</v>
      </c>
      <c r="G1851">
        <f t="shared" si="57"/>
        <v>2018</v>
      </c>
    </row>
    <row r="1852" spans="1:7" x14ac:dyDescent="0.25">
      <c r="A1852" t="s">
        <v>12</v>
      </c>
      <c r="B1852" t="s">
        <v>7</v>
      </c>
      <c r="C1852">
        <v>106.06</v>
      </c>
      <c r="D1852">
        <v>105.58719000000001</v>
      </c>
      <c r="E1852" s="1">
        <v>43282</v>
      </c>
      <c r="F1852">
        <f t="shared" si="56"/>
        <v>7</v>
      </c>
      <c r="G1852">
        <f t="shared" si="57"/>
        <v>2018</v>
      </c>
    </row>
    <row r="1853" spans="1:7" x14ac:dyDescent="0.25">
      <c r="A1853" t="s">
        <v>12</v>
      </c>
      <c r="B1853" t="s">
        <v>7</v>
      </c>
      <c r="C1853">
        <v>105.81</v>
      </c>
      <c r="D1853">
        <v>102.97154</v>
      </c>
      <c r="E1853" s="1">
        <v>43313</v>
      </c>
      <c r="F1853">
        <f t="shared" si="56"/>
        <v>8</v>
      </c>
      <c r="G1853">
        <f t="shared" si="57"/>
        <v>2018</v>
      </c>
    </row>
    <row r="1854" spans="1:7" x14ac:dyDescent="0.25">
      <c r="A1854" t="s">
        <v>12</v>
      </c>
      <c r="B1854" t="s">
        <v>7</v>
      </c>
      <c r="C1854">
        <v>105.71</v>
      </c>
      <c r="D1854">
        <v>104.75951000000001</v>
      </c>
      <c r="E1854" s="1">
        <v>43344</v>
      </c>
      <c r="F1854">
        <f t="shared" si="56"/>
        <v>9</v>
      </c>
      <c r="G1854">
        <f t="shared" si="57"/>
        <v>2018</v>
      </c>
    </row>
    <row r="1855" spans="1:7" x14ac:dyDescent="0.25">
      <c r="A1855" t="s">
        <v>12</v>
      </c>
      <c r="B1855" t="s">
        <v>7</v>
      </c>
      <c r="C1855">
        <v>103.99</v>
      </c>
      <c r="D1855">
        <v>109.13215</v>
      </c>
      <c r="E1855" s="1">
        <v>43374</v>
      </c>
      <c r="F1855">
        <f t="shared" si="56"/>
        <v>10</v>
      </c>
      <c r="G1855">
        <f t="shared" si="57"/>
        <v>2018</v>
      </c>
    </row>
    <row r="1856" spans="1:7" x14ac:dyDescent="0.25">
      <c r="A1856" t="s">
        <v>12</v>
      </c>
      <c r="B1856" t="s">
        <v>7</v>
      </c>
      <c r="C1856">
        <v>103.79</v>
      </c>
      <c r="D1856">
        <v>106.96955</v>
      </c>
      <c r="E1856" s="1">
        <v>43405</v>
      </c>
      <c r="F1856">
        <f t="shared" si="56"/>
        <v>11</v>
      </c>
      <c r="G1856">
        <f t="shared" si="57"/>
        <v>2018</v>
      </c>
    </row>
    <row r="1857" spans="1:7" x14ac:dyDescent="0.25">
      <c r="A1857" t="s">
        <v>12</v>
      </c>
      <c r="B1857" t="s">
        <v>7</v>
      </c>
      <c r="C1857">
        <v>103.68</v>
      </c>
      <c r="D1857">
        <v>114.98465</v>
      </c>
      <c r="E1857" s="1">
        <v>43435</v>
      </c>
      <c r="F1857">
        <f t="shared" si="56"/>
        <v>12</v>
      </c>
      <c r="G1857">
        <f t="shared" si="57"/>
        <v>2018</v>
      </c>
    </row>
    <row r="1858" spans="1:7" x14ac:dyDescent="0.25">
      <c r="A1858" t="s">
        <v>12</v>
      </c>
      <c r="B1858" t="s">
        <v>7</v>
      </c>
      <c r="C1858">
        <v>107.37</v>
      </c>
      <c r="D1858">
        <v>107.93921</v>
      </c>
      <c r="E1858" s="1">
        <v>43466</v>
      </c>
      <c r="F1858">
        <f t="shared" ref="F1858:F1921" si="58">MONTH(E1858)</f>
        <v>1</v>
      </c>
      <c r="G1858">
        <f t="shared" ref="G1858:G1921" si="59">YEAR(E1858)</f>
        <v>2019</v>
      </c>
    </row>
    <row r="1859" spans="1:7" x14ac:dyDescent="0.25">
      <c r="A1859" t="s">
        <v>12</v>
      </c>
      <c r="B1859" t="s">
        <v>7</v>
      </c>
      <c r="C1859">
        <v>108.73</v>
      </c>
      <c r="D1859">
        <v>98.479550000000003</v>
      </c>
      <c r="E1859" s="1">
        <v>43497</v>
      </c>
      <c r="F1859">
        <f t="shared" si="58"/>
        <v>2</v>
      </c>
      <c r="G1859">
        <f t="shared" si="59"/>
        <v>2019</v>
      </c>
    </row>
    <row r="1860" spans="1:7" x14ac:dyDescent="0.25">
      <c r="A1860" t="s">
        <v>12</v>
      </c>
      <c r="B1860" t="s">
        <v>7</v>
      </c>
      <c r="C1860">
        <v>109.11</v>
      </c>
      <c r="D1860">
        <v>108.30127</v>
      </c>
      <c r="E1860" s="1">
        <v>43525</v>
      </c>
      <c r="F1860">
        <f t="shared" si="58"/>
        <v>3</v>
      </c>
      <c r="G1860">
        <f t="shared" si="59"/>
        <v>2019</v>
      </c>
    </row>
    <row r="1861" spans="1:7" x14ac:dyDescent="0.25">
      <c r="A1861" t="s">
        <v>12</v>
      </c>
      <c r="B1861" t="s">
        <v>7</v>
      </c>
      <c r="C1861">
        <v>111.61</v>
      </c>
      <c r="D1861">
        <v>109.70997</v>
      </c>
      <c r="E1861" s="1">
        <v>43556</v>
      </c>
      <c r="F1861">
        <f t="shared" si="58"/>
        <v>4</v>
      </c>
      <c r="G1861">
        <f t="shared" si="59"/>
        <v>2019</v>
      </c>
    </row>
    <row r="1862" spans="1:7" x14ac:dyDescent="0.25">
      <c r="A1862" t="s">
        <v>12</v>
      </c>
      <c r="B1862" t="s">
        <v>7</v>
      </c>
      <c r="C1862">
        <v>109.05</v>
      </c>
      <c r="D1862">
        <v>108.27437999999999</v>
      </c>
      <c r="E1862" s="1">
        <v>43586</v>
      </c>
      <c r="F1862">
        <f t="shared" si="58"/>
        <v>5</v>
      </c>
      <c r="G1862">
        <f t="shared" si="59"/>
        <v>2019</v>
      </c>
    </row>
    <row r="1863" spans="1:7" x14ac:dyDescent="0.25">
      <c r="A1863" t="s">
        <v>12</v>
      </c>
      <c r="B1863" t="s">
        <v>7</v>
      </c>
      <c r="C1863">
        <v>109.36</v>
      </c>
      <c r="D1863">
        <v>104.86418</v>
      </c>
      <c r="E1863" s="1">
        <v>43617</v>
      </c>
      <c r="F1863">
        <f t="shared" si="58"/>
        <v>6</v>
      </c>
      <c r="G1863">
        <f t="shared" si="59"/>
        <v>2019</v>
      </c>
    </row>
    <row r="1864" spans="1:7" x14ac:dyDescent="0.25">
      <c r="A1864" t="s">
        <v>12</v>
      </c>
      <c r="B1864" t="s">
        <v>7</v>
      </c>
      <c r="C1864">
        <v>108.96</v>
      </c>
      <c r="D1864">
        <v>110.25485</v>
      </c>
      <c r="E1864" s="1">
        <v>43647</v>
      </c>
      <c r="F1864">
        <f t="shared" si="58"/>
        <v>7</v>
      </c>
      <c r="G1864">
        <f t="shared" si="59"/>
        <v>2019</v>
      </c>
    </row>
    <row r="1865" spans="1:7" x14ac:dyDescent="0.25">
      <c r="A1865" t="s">
        <v>12</v>
      </c>
      <c r="B1865" t="s">
        <v>7</v>
      </c>
      <c r="C1865">
        <v>106.04</v>
      </c>
      <c r="D1865">
        <v>105.04895</v>
      </c>
      <c r="E1865" s="1">
        <v>43678</v>
      </c>
      <c r="F1865">
        <f t="shared" si="58"/>
        <v>8</v>
      </c>
      <c r="G1865">
        <f t="shared" si="59"/>
        <v>2019</v>
      </c>
    </row>
    <row r="1866" spans="1:7" x14ac:dyDescent="0.25">
      <c r="A1866" t="s">
        <v>12</v>
      </c>
      <c r="B1866" t="s">
        <v>7</v>
      </c>
      <c r="C1866">
        <v>106.52</v>
      </c>
      <c r="D1866">
        <v>104.98583000000001</v>
      </c>
      <c r="E1866" s="1">
        <v>43709</v>
      </c>
      <c r="F1866">
        <f t="shared" si="58"/>
        <v>9</v>
      </c>
      <c r="G1866">
        <f t="shared" si="59"/>
        <v>2019</v>
      </c>
    </row>
    <row r="1867" spans="1:7" x14ac:dyDescent="0.25">
      <c r="A1867" t="s">
        <v>12</v>
      </c>
      <c r="B1867" t="s">
        <v>7</v>
      </c>
      <c r="C1867">
        <v>108.24</v>
      </c>
      <c r="D1867">
        <v>112.12853</v>
      </c>
      <c r="E1867" s="1">
        <v>43739</v>
      </c>
      <c r="F1867">
        <f t="shared" si="58"/>
        <v>10</v>
      </c>
      <c r="G1867">
        <f t="shared" si="59"/>
        <v>2019</v>
      </c>
    </row>
    <row r="1868" spans="1:7" x14ac:dyDescent="0.25">
      <c r="A1868" t="s">
        <v>12</v>
      </c>
      <c r="B1868" t="s">
        <v>7</v>
      </c>
      <c r="C1868">
        <v>103.3</v>
      </c>
      <c r="D1868">
        <v>108.77032</v>
      </c>
      <c r="E1868" s="1">
        <v>43770</v>
      </c>
      <c r="F1868">
        <f t="shared" si="58"/>
        <v>11</v>
      </c>
      <c r="G1868">
        <f t="shared" si="59"/>
        <v>2019</v>
      </c>
    </row>
    <row r="1869" spans="1:7" x14ac:dyDescent="0.25">
      <c r="A1869" t="s">
        <v>12</v>
      </c>
      <c r="B1869" t="s">
        <v>7</v>
      </c>
      <c r="C1869">
        <v>103.92</v>
      </c>
      <c r="D1869">
        <v>113.20789000000001</v>
      </c>
      <c r="E1869" s="1">
        <v>43800</v>
      </c>
      <c r="F1869">
        <f t="shared" si="58"/>
        <v>12</v>
      </c>
      <c r="G1869">
        <f t="shared" si="59"/>
        <v>2019</v>
      </c>
    </row>
    <row r="1870" spans="1:7" x14ac:dyDescent="0.25">
      <c r="A1870" t="s">
        <v>12</v>
      </c>
      <c r="B1870" t="s">
        <v>7</v>
      </c>
      <c r="C1870">
        <v>104.66</v>
      </c>
      <c r="D1870">
        <v>105.69826</v>
      </c>
      <c r="E1870" s="1">
        <v>43831</v>
      </c>
      <c r="F1870">
        <f t="shared" si="58"/>
        <v>1</v>
      </c>
      <c r="G1870">
        <f t="shared" si="59"/>
        <v>2020</v>
      </c>
    </row>
    <row r="1871" spans="1:7" x14ac:dyDescent="0.25">
      <c r="A1871" t="s">
        <v>12</v>
      </c>
      <c r="B1871" t="s">
        <v>7</v>
      </c>
      <c r="C1871">
        <v>105.39</v>
      </c>
      <c r="D1871">
        <v>96.685220000000001</v>
      </c>
      <c r="E1871" s="1">
        <v>43862</v>
      </c>
      <c r="F1871">
        <f t="shared" si="58"/>
        <v>2</v>
      </c>
      <c r="G1871">
        <f t="shared" si="59"/>
        <v>2020</v>
      </c>
    </row>
    <row r="1872" spans="1:7" x14ac:dyDescent="0.25">
      <c r="A1872" t="s">
        <v>12</v>
      </c>
      <c r="B1872" t="s">
        <v>7</v>
      </c>
      <c r="C1872">
        <v>73.23</v>
      </c>
      <c r="D1872">
        <v>72.018889999999999</v>
      </c>
      <c r="E1872" s="1">
        <v>43891</v>
      </c>
      <c r="F1872">
        <f t="shared" si="58"/>
        <v>3</v>
      </c>
      <c r="G1872">
        <f t="shared" si="59"/>
        <v>2020</v>
      </c>
    </row>
    <row r="1873" spans="1:7" x14ac:dyDescent="0.25">
      <c r="A1873" t="s">
        <v>12</v>
      </c>
      <c r="B1873" t="s">
        <v>7</v>
      </c>
      <c r="C1873">
        <v>40.78</v>
      </c>
      <c r="D1873">
        <v>37.493160000000003</v>
      </c>
      <c r="E1873" s="1">
        <v>43922</v>
      </c>
      <c r="F1873">
        <f t="shared" si="58"/>
        <v>4</v>
      </c>
      <c r="G1873">
        <f t="shared" si="59"/>
        <v>2020</v>
      </c>
    </row>
    <row r="1874" spans="1:7" x14ac:dyDescent="0.25">
      <c r="A1874" t="s">
        <v>12</v>
      </c>
      <c r="B1874" t="s">
        <v>7</v>
      </c>
      <c r="C1874">
        <v>38.78</v>
      </c>
      <c r="D1874">
        <v>39.276629999999997</v>
      </c>
      <c r="E1874" s="1">
        <v>43952</v>
      </c>
      <c r="F1874">
        <f t="shared" si="58"/>
        <v>5</v>
      </c>
      <c r="G1874">
        <f t="shared" si="59"/>
        <v>2020</v>
      </c>
    </row>
    <row r="1875" spans="1:7" x14ac:dyDescent="0.25">
      <c r="A1875" t="s">
        <v>12</v>
      </c>
      <c r="B1875" t="s">
        <v>7</v>
      </c>
      <c r="C1875">
        <v>46.64</v>
      </c>
      <c r="D1875">
        <v>42.956099999999999</v>
      </c>
      <c r="E1875" s="1">
        <v>43983</v>
      </c>
      <c r="F1875">
        <f t="shared" si="58"/>
        <v>6</v>
      </c>
      <c r="G1875">
        <f t="shared" si="59"/>
        <v>2020</v>
      </c>
    </row>
    <row r="1876" spans="1:7" x14ac:dyDescent="0.25">
      <c r="A1876" t="s">
        <v>12</v>
      </c>
      <c r="B1876" t="s">
        <v>7</v>
      </c>
      <c r="C1876">
        <v>49.35</v>
      </c>
      <c r="D1876">
        <v>50.788580000000003</v>
      </c>
      <c r="E1876" s="1">
        <v>44013</v>
      </c>
      <c r="F1876">
        <f t="shared" si="58"/>
        <v>7</v>
      </c>
      <c r="G1876">
        <f t="shared" si="59"/>
        <v>2020</v>
      </c>
    </row>
    <row r="1877" spans="1:7" x14ac:dyDescent="0.25">
      <c r="A1877" t="s">
        <v>12</v>
      </c>
      <c r="B1877" t="s">
        <v>7</v>
      </c>
      <c r="C1877">
        <v>59.77</v>
      </c>
      <c r="D1877">
        <v>57.63212</v>
      </c>
      <c r="E1877" s="1">
        <v>44044</v>
      </c>
      <c r="F1877">
        <f t="shared" si="58"/>
        <v>8</v>
      </c>
      <c r="G1877">
        <f t="shared" si="59"/>
        <v>2020</v>
      </c>
    </row>
    <row r="1878" spans="1:7" x14ac:dyDescent="0.25">
      <c r="A1878" t="s">
        <v>12</v>
      </c>
      <c r="B1878" t="s">
        <v>7</v>
      </c>
      <c r="C1878">
        <v>65.83</v>
      </c>
      <c r="D1878">
        <v>64.636409999999998</v>
      </c>
      <c r="E1878" s="1">
        <v>44075</v>
      </c>
      <c r="F1878">
        <f t="shared" si="58"/>
        <v>9</v>
      </c>
      <c r="G1878">
        <f t="shared" si="59"/>
        <v>2020</v>
      </c>
    </row>
    <row r="1879" spans="1:7" x14ac:dyDescent="0.25">
      <c r="A1879" t="s">
        <v>12</v>
      </c>
      <c r="B1879" t="s">
        <v>7</v>
      </c>
      <c r="C1879">
        <v>67.66</v>
      </c>
      <c r="D1879">
        <v>73.644139999999993</v>
      </c>
      <c r="E1879" s="1">
        <v>44105</v>
      </c>
      <c r="F1879">
        <f t="shared" si="58"/>
        <v>10</v>
      </c>
      <c r="G1879">
        <f t="shared" si="59"/>
        <v>2020</v>
      </c>
    </row>
    <row r="1880" spans="1:7" x14ac:dyDescent="0.25">
      <c r="A1880" t="s">
        <v>12</v>
      </c>
      <c r="B1880" t="s">
        <v>7</v>
      </c>
      <c r="C1880">
        <v>73.87</v>
      </c>
      <c r="D1880">
        <v>76.577699999999993</v>
      </c>
      <c r="E1880" s="1">
        <v>44136</v>
      </c>
      <c r="F1880">
        <f t="shared" si="58"/>
        <v>11</v>
      </c>
      <c r="G1880">
        <f t="shared" si="59"/>
        <v>2020</v>
      </c>
    </row>
    <row r="1881" spans="1:7" x14ac:dyDescent="0.25">
      <c r="A1881" t="s">
        <v>12</v>
      </c>
      <c r="B1881" t="s">
        <v>7</v>
      </c>
      <c r="C1881">
        <v>72.569999999999993</v>
      </c>
      <c r="D1881">
        <v>83.007810000000006</v>
      </c>
      <c r="E1881" s="1">
        <v>44166</v>
      </c>
      <c r="F1881">
        <f t="shared" si="58"/>
        <v>12</v>
      </c>
      <c r="G1881">
        <f t="shared" si="59"/>
        <v>2020</v>
      </c>
    </row>
    <row r="1882" spans="1:7" x14ac:dyDescent="0.25">
      <c r="A1882" t="s">
        <v>12</v>
      </c>
      <c r="B1882" t="s">
        <v>7</v>
      </c>
      <c r="C1882">
        <v>71.03</v>
      </c>
      <c r="D1882">
        <v>72.705550000000002</v>
      </c>
      <c r="E1882" s="1">
        <v>44197</v>
      </c>
      <c r="F1882">
        <f t="shared" si="58"/>
        <v>1</v>
      </c>
      <c r="G1882">
        <f t="shared" si="59"/>
        <v>2021</v>
      </c>
    </row>
    <row r="1883" spans="1:7" x14ac:dyDescent="0.25">
      <c r="A1883" t="s">
        <v>12</v>
      </c>
      <c r="B1883" t="s">
        <v>7</v>
      </c>
      <c r="C1883">
        <v>79.17</v>
      </c>
      <c r="D1883">
        <v>66.192930000000004</v>
      </c>
      <c r="E1883" s="1">
        <v>44228</v>
      </c>
      <c r="F1883">
        <f t="shared" si="58"/>
        <v>2</v>
      </c>
      <c r="G1883">
        <f t="shared" si="59"/>
        <v>2021</v>
      </c>
    </row>
    <row r="1884" spans="1:7" x14ac:dyDescent="0.25">
      <c r="A1884" t="s">
        <v>12</v>
      </c>
      <c r="B1884" t="s">
        <v>7</v>
      </c>
      <c r="C1884">
        <v>56.19</v>
      </c>
      <c r="D1884">
        <v>56.263199999999998</v>
      </c>
      <c r="E1884" s="1">
        <v>44256</v>
      </c>
      <c r="F1884">
        <f t="shared" si="58"/>
        <v>3</v>
      </c>
      <c r="G1884">
        <f t="shared" si="59"/>
        <v>2021</v>
      </c>
    </row>
    <row r="1885" spans="1:7" x14ac:dyDescent="0.25">
      <c r="A1885" t="s">
        <v>12</v>
      </c>
      <c r="B1885" t="s">
        <v>7</v>
      </c>
      <c r="C1885">
        <v>60.57</v>
      </c>
      <c r="D1885">
        <v>57.481549999999999</v>
      </c>
      <c r="E1885" s="1">
        <v>44287</v>
      </c>
      <c r="F1885">
        <f t="shared" si="58"/>
        <v>4</v>
      </c>
      <c r="G1885">
        <f t="shared" si="59"/>
        <v>2021</v>
      </c>
    </row>
    <row r="1886" spans="1:7" x14ac:dyDescent="0.25">
      <c r="A1886" t="s">
        <v>12</v>
      </c>
      <c r="B1886" t="s">
        <v>7</v>
      </c>
      <c r="C1886">
        <v>67.77</v>
      </c>
      <c r="D1886">
        <v>68.061340000000001</v>
      </c>
      <c r="E1886" s="1">
        <v>44317</v>
      </c>
      <c r="F1886">
        <f t="shared" si="58"/>
        <v>5</v>
      </c>
      <c r="G1886">
        <f t="shared" si="59"/>
        <v>2021</v>
      </c>
    </row>
    <row r="1887" spans="1:7" x14ac:dyDescent="0.25">
      <c r="A1887" t="s">
        <v>12</v>
      </c>
      <c r="B1887" t="s">
        <v>7</v>
      </c>
      <c r="C1887">
        <v>74.510000000000005</v>
      </c>
      <c r="D1887">
        <v>70.335509999999999</v>
      </c>
      <c r="E1887" s="1">
        <v>44348</v>
      </c>
      <c r="F1887">
        <f t="shared" si="58"/>
        <v>6</v>
      </c>
      <c r="G1887">
        <f t="shared" si="59"/>
        <v>2021</v>
      </c>
    </row>
    <row r="1888" spans="1:7" x14ac:dyDescent="0.25">
      <c r="A1888" t="s">
        <v>12</v>
      </c>
      <c r="B1888" t="s">
        <v>7</v>
      </c>
      <c r="C1888">
        <v>76.8</v>
      </c>
      <c r="D1888">
        <v>79.794499999999999</v>
      </c>
      <c r="E1888" s="1">
        <v>44378</v>
      </c>
      <c r="F1888">
        <f t="shared" si="58"/>
        <v>7</v>
      </c>
      <c r="G1888">
        <f t="shared" si="59"/>
        <v>2021</v>
      </c>
    </row>
    <row r="1889" spans="1:7" x14ac:dyDescent="0.25">
      <c r="A1889" t="s">
        <v>12</v>
      </c>
      <c r="B1889" t="s">
        <v>7</v>
      </c>
      <c r="C1889">
        <v>82.56</v>
      </c>
      <c r="D1889">
        <v>78.718800000000002</v>
      </c>
      <c r="E1889" s="1">
        <v>44409</v>
      </c>
      <c r="F1889">
        <f t="shared" si="58"/>
        <v>8</v>
      </c>
      <c r="G1889">
        <f t="shared" si="59"/>
        <v>2021</v>
      </c>
    </row>
    <row r="1890" spans="1:7" x14ac:dyDescent="0.25">
      <c r="A1890" t="s">
        <v>12</v>
      </c>
      <c r="B1890" t="s">
        <v>7</v>
      </c>
      <c r="C1890">
        <v>82.69</v>
      </c>
      <c r="D1890">
        <v>80.537649999999999</v>
      </c>
      <c r="E1890" s="1">
        <v>44440</v>
      </c>
      <c r="F1890">
        <f t="shared" si="58"/>
        <v>9</v>
      </c>
      <c r="G1890">
        <f t="shared" si="59"/>
        <v>2021</v>
      </c>
    </row>
    <row r="1891" spans="1:7" x14ac:dyDescent="0.25">
      <c r="A1891" t="s">
        <v>12</v>
      </c>
      <c r="B1891" t="s">
        <v>7</v>
      </c>
      <c r="C1891">
        <v>85.32</v>
      </c>
      <c r="D1891">
        <v>90.134839999999997</v>
      </c>
      <c r="E1891" s="1">
        <v>44470</v>
      </c>
      <c r="F1891">
        <f t="shared" si="58"/>
        <v>10</v>
      </c>
      <c r="G1891">
        <f t="shared" si="59"/>
        <v>2021</v>
      </c>
    </row>
    <row r="1892" spans="1:7" x14ac:dyDescent="0.25">
      <c r="A1892" t="s">
        <v>12</v>
      </c>
      <c r="B1892" t="s">
        <v>7</v>
      </c>
      <c r="C1892">
        <v>89.17</v>
      </c>
      <c r="D1892">
        <v>93.77861</v>
      </c>
      <c r="E1892" s="1">
        <v>44501</v>
      </c>
      <c r="F1892">
        <f t="shared" si="58"/>
        <v>11</v>
      </c>
      <c r="G1892">
        <f t="shared" si="59"/>
        <v>2021</v>
      </c>
    </row>
    <row r="1893" spans="1:7" x14ac:dyDescent="0.25">
      <c r="A1893" t="s">
        <v>12</v>
      </c>
      <c r="B1893" t="s">
        <v>7</v>
      </c>
      <c r="C1893">
        <v>92.31</v>
      </c>
      <c r="D1893">
        <v>105.14771</v>
      </c>
      <c r="E1893" s="1">
        <v>44531</v>
      </c>
      <c r="F1893">
        <f t="shared" si="58"/>
        <v>12</v>
      </c>
      <c r="G1893">
        <f t="shared" si="59"/>
        <v>2021</v>
      </c>
    </row>
    <row r="1894" spans="1:7" x14ac:dyDescent="0.25">
      <c r="A1894" t="s">
        <v>12</v>
      </c>
      <c r="B1894" t="s">
        <v>7</v>
      </c>
      <c r="C1894">
        <v>89.39</v>
      </c>
      <c r="D1894">
        <v>91.042249999999996</v>
      </c>
      <c r="E1894" s="1">
        <v>44562</v>
      </c>
      <c r="F1894">
        <f t="shared" si="58"/>
        <v>1</v>
      </c>
      <c r="G1894">
        <f t="shared" si="59"/>
        <v>2022</v>
      </c>
    </row>
    <row r="1895" spans="1:7" x14ac:dyDescent="0.25">
      <c r="A1895" t="s">
        <v>12</v>
      </c>
      <c r="B1895" t="s">
        <v>7</v>
      </c>
      <c r="C1895">
        <v>95.14</v>
      </c>
      <c r="D1895">
        <v>81.84693</v>
      </c>
      <c r="E1895" s="1">
        <v>44593</v>
      </c>
      <c r="F1895">
        <f t="shared" si="58"/>
        <v>2</v>
      </c>
      <c r="G1895">
        <f t="shared" si="59"/>
        <v>2022</v>
      </c>
    </row>
    <row r="1896" spans="1:7" x14ac:dyDescent="0.25">
      <c r="A1896" t="s">
        <v>12</v>
      </c>
      <c r="B1896" t="s">
        <v>7</v>
      </c>
      <c r="C1896">
        <v>99.72</v>
      </c>
      <c r="D1896">
        <v>98.588220000000007</v>
      </c>
      <c r="E1896" s="1">
        <v>44621</v>
      </c>
      <c r="F1896">
        <f t="shared" si="58"/>
        <v>3</v>
      </c>
      <c r="G1896">
        <f t="shared" si="59"/>
        <v>2022</v>
      </c>
    </row>
    <row r="1897" spans="1:7" x14ac:dyDescent="0.25">
      <c r="A1897" t="s">
        <v>12</v>
      </c>
      <c r="B1897" t="s">
        <v>7</v>
      </c>
      <c r="C1897">
        <v>99.49</v>
      </c>
      <c r="D1897">
        <v>97.424109999999999</v>
      </c>
      <c r="E1897" s="1">
        <v>44652</v>
      </c>
      <c r="F1897">
        <f t="shared" si="58"/>
        <v>4</v>
      </c>
      <c r="G1897">
        <f t="shared" si="59"/>
        <v>2022</v>
      </c>
    </row>
    <row r="1898" spans="1:7" x14ac:dyDescent="0.25">
      <c r="A1898" t="s">
        <v>12</v>
      </c>
      <c r="B1898" t="s">
        <v>7</v>
      </c>
      <c r="C1898">
        <v>101.73</v>
      </c>
      <c r="D1898">
        <v>100.23226</v>
      </c>
      <c r="E1898" s="1">
        <v>44682</v>
      </c>
      <c r="F1898">
        <f t="shared" si="58"/>
        <v>5</v>
      </c>
      <c r="G1898">
        <f t="shared" si="59"/>
        <v>2022</v>
      </c>
    </row>
    <row r="1899" spans="1:7" x14ac:dyDescent="0.25">
      <c r="A1899" t="s">
        <v>12</v>
      </c>
      <c r="B1899" t="s">
        <v>7</v>
      </c>
      <c r="C1899">
        <v>99.92</v>
      </c>
      <c r="D1899">
        <v>95.621290000000002</v>
      </c>
      <c r="E1899" s="1">
        <v>44713</v>
      </c>
      <c r="F1899">
        <f t="shared" si="58"/>
        <v>6</v>
      </c>
      <c r="G1899">
        <f t="shared" si="59"/>
        <v>2022</v>
      </c>
    </row>
    <row r="1900" spans="1:7" x14ac:dyDescent="0.25">
      <c r="A1900" t="s">
        <v>12</v>
      </c>
      <c r="B1900" t="s">
        <v>7</v>
      </c>
      <c r="C1900">
        <v>100.39</v>
      </c>
      <c r="D1900">
        <v>102.71903</v>
      </c>
      <c r="E1900" s="1">
        <v>44743</v>
      </c>
      <c r="F1900">
        <f t="shared" si="58"/>
        <v>7</v>
      </c>
      <c r="G1900">
        <f t="shared" si="59"/>
        <v>2022</v>
      </c>
    </row>
    <row r="1901" spans="1:7" x14ac:dyDescent="0.25">
      <c r="A1901" t="s">
        <v>12</v>
      </c>
      <c r="B1901" t="s">
        <v>7</v>
      </c>
      <c r="C1901">
        <v>103.93</v>
      </c>
      <c r="D1901">
        <v>101.01112000000001</v>
      </c>
      <c r="E1901" s="1">
        <v>44774</v>
      </c>
      <c r="F1901">
        <f t="shared" si="58"/>
        <v>8</v>
      </c>
      <c r="G1901">
        <f t="shared" si="59"/>
        <v>2022</v>
      </c>
    </row>
    <row r="1902" spans="1:7" x14ac:dyDescent="0.25">
      <c r="A1902" t="s">
        <v>12</v>
      </c>
      <c r="B1902" t="s">
        <v>7</v>
      </c>
      <c r="C1902">
        <v>105.21</v>
      </c>
      <c r="D1902">
        <v>103.12694</v>
      </c>
      <c r="E1902" s="1">
        <v>44805</v>
      </c>
      <c r="F1902">
        <f t="shared" si="58"/>
        <v>9</v>
      </c>
      <c r="G1902">
        <f t="shared" si="59"/>
        <v>2022</v>
      </c>
    </row>
    <row r="1903" spans="1:7" x14ac:dyDescent="0.25">
      <c r="A1903" t="s">
        <v>12</v>
      </c>
      <c r="B1903" t="s">
        <v>7</v>
      </c>
      <c r="C1903">
        <v>102.53</v>
      </c>
      <c r="D1903">
        <v>106.82458</v>
      </c>
      <c r="E1903" s="1">
        <v>44835</v>
      </c>
      <c r="F1903">
        <f t="shared" si="58"/>
        <v>10</v>
      </c>
      <c r="G1903">
        <f t="shared" si="59"/>
        <v>2022</v>
      </c>
    </row>
    <row r="1904" spans="1:7" x14ac:dyDescent="0.25">
      <c r="A1904" t="s">
        <v>12</v>
      </c>
      <c r="B1904" t="s">
        <v>7</v>
      </c>
      <c r="C1904">
        <v>100.47</v>
      </c>
      <c r="D1904">
        <v>105.07463</v>
      </c>
      <c r="E1904" s="1">
        <v>44866</v>
      </c>
      <c r="F1904">
        <f t="shared" si="58"/>
        <v>11</v>
      </c>
      <c r="G1904">
        <f t="shared" si="59"/>
        <v>2022</v>
      </c>
    </row>
    <row r="1905" spans="1:7" x14ac:dyDescent="0.25">
      <c r="A1905" t="s">
        <v>12</v>
      </c>
      <c r="B1905" t="s">
        <v>7</v>
      </c>
      <c r="C1905">
        <v>100.43</v>
      </c>
      <c r="D1905">
        <v>116.48864</v>
      </c>
      <c r="E1905" s="1">
        <v>44896</v>
      </c>
      <c r="F1905">
        <f t="shared" si="58"/>
        <v>12</v>
      </c>
      <c r="G1905">
        <f t="shared" si="59"/>
        <v>2022</v>
      </c>
    </row>
    <row r="1906" spans="1:7" x14ac:dyDescent="0.25">
      <c r="A1906" t="s">
        <v>12</v>
      </c>
      <c r="B1906" t="s">
        <v>7</v>
      </c>
      <c r="C1906">
        <v>105.56</v>
      </c>
      <c r="D1906">
        <v>106.07729999999999</v>
      </c>
      <c r="E1906" s="1">
        <v>44927</v>
      </c>
      <c r="F1906">
        <f t="shared" si="58"/>
        <v>1</v>
      </c>
      <c r="G1906">
        <f t="shared" si="59"/>
        <v>2023</v>
      </c>
    </row>
    <row r="1907" spans="1:7" x14ac:dyDescent="0.25">
      <c r="A1907" t="s">
        <v>12</v>
      </c>
      <c r="B1907" t="s">
        <v>7</v>
      </c>
      <c r="C1907">
        <v>102.38</v>
      </c>
      <c r="D1907">
        <v>88.49718</v>
      </c>
      <c r="E1907" s="1">
        <v>44958</v>
      </c>
      <c r="F1907">
        <f t="shared" si="58"/>
        <v>2</v>
      </c>
      <c r="G1907">
        <f t="shared" si="59"/>
        <v>2023</v>
      </c>
    </row>
    <row r="1908" spans="1:7" x14ac:dyDescent="0.25">
      <c r="A1908" t="s">
        <v>12</v>
      </c>
      <c r="B1908" t="s">
        <v>7</v>
      </c>
      <c r="C1908">
        <v>103.02</v>
      </c>
      <c r="D1908">
        <v>102.77719</v>
      </c>
      <c r="E1908" s="1">
        <v>44986</v>
      </c>
      <c r="F1908">
        <f t="shared" si="58"/>
        <v>3</v>
      </c>
      <c r="G1908">
        <f t="shared" si="59"/>
        <v>2023</v>
      </c>
    </row>
    <row r="1909" spans="1:7" x14ac:dyDescent="0.25">
      <c r="A1909" t="s">
        <v>12</v>
      </c>
      <c r="B1909" t="s">
        <v>7</v>
      </c>
      <c r="C1909">
        <v>101.46</v>
      </c>
      <c r="D1909">
        <v>96.660229999999999</v>
      </c>
      <c r="E1909" s="1">
        <v>45017</v>
      </c>
      <c r="F1909">
        <f t="shared" si="58"/>
        <v>4</v>
      </c>
      <c r="G1909">
        <f t="shared" si="59"/>
        <v>2023</v>
      </c>
    </row>
    <row r="1910" spans="1:7" x14ac:dyDescent="0.25">
      <c r="A1910" t="s">
        <v>12</v>
      </c>
      <c r="B1910" t="s">
        <v>7</v>
      </c>
      <c r="C1910">
        <v>98.31</v>
      </c>
      <c r="D1910">
        <v>97.718040000000002</v>
      </c>
      <c r="E1910" s="1">
        <v>45047</v>
      </c>
      <c r="F1910">
        <f t="shared" si="58"/>
        <v>5</v>
      </c>
      <c r="G1910">
        <f t="shared" si="59"/>
        <v>2023</v>
      </c>
    </row>
    <row r="1911" spans="1:7" x14ac:dyDescent="0.25">
      <c r="A1911" t="s">
        <v>12</v>
      </c>
      <c r="B1911" t="s">
        <v>7</v>
      </c>
      <c r="C1911">
        <v>101.55</v>
      </c>
      <c r="D1911">
        <v>97.943849999999998</v>
      </c>
      <c r="E1911" s="1">
        <v>45078</v>
      </c>
      <c r="F1911">
        <f t="shared" si="58"/>
        <v>6</v>
      </c>
      <c r="G1911">
        <f t="shared" si="59"/>
        <v>2023</v>
      </c>
    </row>
    <row r="1912" spans="1:7" x14ac:dyDescent="0.25">
      <c r="A1912" t="s">
        <v>12</v>
      </c>
      <c r="B1912" t="s">
        <v>7</v>
      </c>
      <c r="C1912">
        <v>107.71</v>
      </c>
      <c r="D1912">
        <v>110.11081</v>
      </c>
      <c r="E1912" s="1">
        <v>45108</v>
      </c>
      <c r="F1912">
        <f t="shared" si="58"/>
        <v>7</v>
      </c>
      <c r="G1912">
        <f t="shared" si="59"/>
        <v>2023</v>
      </c>
    </row>
    <row r="1913" spans="1:7" x14ac:dyDescent="0.25">
      <c r="A1913" t="s">
        <v>12</v>
      </c>
      <c r="B1913" t="s">
        <v>7</v>
      </c>
      <c r="C1913">
        <v>99.54</v>
      </c>
      <c r="D1913">
        <v>95.369169999999997</v>
      </c>
      <c r="E1913" s="1">
        <v>45139</v>
      </c>
      <c r="F1913">
        <f t="shared" si="58"/>
        <v>8</v>
      </c>
      <c r="G1913">
        <f t="shared" si="59"/>
        <v>2023</v>
      </c>
    </row>
    <row r="1914" spans="1:7" x14ac:dyDescent="0.25">
      <c r="A1914" t="s">
        <v>12</v>
      </c>
      <c r="B1914" t="s">
        <v>7</v>
      </c>
      <c r="C1914">
        <v>99.25</v>
      </c>
      <c r="D1914">
        <v>98.430729999999997</v>
      </c>
      <c r="E1914" s="1">
        <v>45170</v>
      </c>
      <c r="F1914">
        <f t="shared" si="58"/>
        <v>9</v>
      </c>
      <c r="G1914">
        <f t="shared" si="59"/>
        <v>2023</v>
      </c>
    </row>
    <row r="1915" spans="1:7" x14ac:dyDescent="0.25">
      <c r="A1915" t="s">
        <v>12</v>
      </c>
      <c r="B1915" t="s">
        <v>7</v>
      </c>
      <c r="C1915">
        <v>101.25</v>
      </c>
      <c r="D1915">
        <v>104.07053999999999</v>
      </c>
      <c r="E1915" s="1">
        <v>45200</v>
      </c>
      <c r="F1915">
        <f t="shared" si="58"/>
        <v>10</v>
      </c>
      <c r="G1915">
        <f t="shared" si="59"/>
        <v>2023</v>
      </c>
    </row>
    <row r="1916" spans="1:7" x14ac:dyDescent="0.25">
      <c r="A1916" t="s">
        <v>12</v>
      </c>
      <c r="B1916" t="s">
        <v>7</v>
      </c>
      <c r="C1916">
        <v>106.88</v>
      </c>
      <c r="D1916">
        <v>111.40115</v>
      </c>
      <c r="E1916" s="1">
        <v>45231</v>
      </c>
      <c r="F1916">
        <f t="shared" si="58"/>
        <v>11</v>
      </c>
      <c r="G1916">
        <f t="shared" si="59"/>
        <v>2023</v>
      </c>
    </row>
    <row r="1917" spans="1:7" x14ac:dyDescent="0.25">
      <c r="A1917" t="s">
        <v>12</v>
      </c>
      <c r="B1917" t="s">
        <v>7</v>
      </c>
      <c r="C1917">
        <v>108.56</v>
      </c>
      <c r="D1917">
        <v>124.82553</v>
      </c>
      <c r="E1917" s="1">
        <v>45261</v>
      </c>
      <c r="F1917">
        <f t="shared" si="58"/>
        <v>12</v>
      </c>
      <c r="G1917">
        <f t="shared" si="59"/>
        <v>2023</v>
      </c>
    </row>
    <row r="1918" spans="1:7" x14ac:dyDescent="0.25">
      <c r="A1918" t="s">
        <v>12</v>
      </c>
      <c r="B1918" t="s">
        <v>7</v>
      </c>
      <c r="C1918">
        <v>107.6</v>
      </c>
      <c r="D1918">
        <v>109.85115999999999</v>
      </c>
      <c r="E1918" s="1">
        <v>45292</v>
      </c>
      <c r="F1918">
        <f t="shared" si="58"/>
        <v>1</v>
      </c>
      <c r="G1918">
        <f t="shared" si="59"/>
        <v>2024</v>
      </c>
    </row>
    <row r="1919" spans="1:7" x14ac:dyDescent="0.25">
      <c r="A1919" t="s">
        <v>12</v>
      </c>
      <c r="B1919" t="s">
        <v>7</v>
      </c>
      <c r="C1919">
        <v>105.72</v>
      </c>
      <c r="D1919">
        <v>93.46848</v>
      </c>
      <c r="E1919" s="1">
        <v>45323</v>
      </c>
      <c r="F1919">
        <f t="shared" si="58"/>
        <v>2</v>
      </c>
      <c r="G1919">
        <f t="shared" si="59"/>
        <v>2024</v>
      </c>
    </row>
    <row r="1920" spans="1:7" x14ac:dyDescent="0.25">
      <c r="A1920" t="s">
        <v>12</v>
      </c>
      <c r="B1920" t="s">
        <v>7</v>
      </c>
      <c r="C1920">
        <v>104.87</v>
      </c>
      <c r="D1920">
        <v>105.32315</v>
      </c>
      <c r="E1920" s="1">
        <v>45352</v>
      </c>
      <c r="F1920">
        <f t="shared" si="58"/>
        <v>3</v>
      </c>
      <c r="G1920">
        <f t="shared" si="59"/>
        <v>2024</v>
      </c>
    </row>
    <row r="1921" spans="1:7" x14ac:dyDescent="0.25">
      <c r="A1921" t="s">
        <v>12</v>
      </c>
      <c r="B1921" t="s">
        <v>7</v>
      </c>
      <c r="C1921">
        <v>104.84</v>
      </c>
      <c r="D1921">
        <v>100.01896000000001</v>
      </c>
      <c r="E1921" s="1">
        <v>45383</v>
      </c>
      <c r="F1921">
        <f t="shared" si="58"/>
        <v>4</v>
      </c>
      <c r="G1921">
        <f t="shared" si="59"/>
        <v>2024</v>
      </c>
    </row>
    <row r="1922" spans="1:7" x14ac:dyDescent="0.25">
      <c r="A1922" t="s">
        <v>12</v>
      </c>
      <c r="B1922" t="s">
        <v>7</v>
      </c>
      <c r="C1922">
        <v>108.09</v>
      </c>
      <c r="D1922">
        <v>106.85301</v>
      </c>
      <c r="E1922" s="1">
        <v>45413</v>
      </c>
      <c r="F1922">
        <f t="shared" ref="F1922:F1985" si="60">MONTH(E1922)</f>
        <v>5</v>
      </c>
      <c r="G1922">
        <f t="shared" ref="G1922:G1985" si="61">YEAR(E1922)</f>
        <v>2024</v>
      </c>
    </row>
    <row r="1923" spans="1:7" x14ac:dyDescent="0.25">
      <c r="A1923" t="s">
        <v>12</v>
      </c>
      <c r="B1923" t="s">
        <v>7</v>
      </c>
      <c r="C1923">
        <v>108.51</v>
      </c>
      <c r="D1923">
        <v>104.50557999999999</v>
      </c>
      <c r="E1923" s="1">
        <v>45444</v>
      </c>
      <c r="F1923">
        <f t="shared" si="60"/>
        <v>6</v>
      </c>
      <c r="G1923">
        <f t="shared" si="61"/>
        <v>2024</v>
      </c>
    </row>
    <row r="1924" spans="1:7" x14ac:dyDescent="0.25">
      <c r="A1924" t="s">
        <v>12</v>
      </c>
      <c r="B1924" t="s">
        <v>7</v>
      </c>
      <c r="C1924">
        <v>110.42</v>
      </c>
      <c r="D1924">
        <v>113.08036</v>
      </c>
      <c r="E1924" s="1">
        <v>45474</v>
      </c>
      <c r="F1924">
        <f t="shared" si="60"/>
        <v>7</v>
      </c>
      <c r="G1924">
        <f t="shared" si="61"/>
        <v>2024</v>
      </c>
    </row>
    <row r="1925" spans="1:7" x14ac:dyDescent="0.25">
      <c r="A1925" t="s">
        <v>12</v>
      </c>
      <c r="B1925" t="s">
        <v>7</v>
      </c>
      <c r="C1925">
        <v>107.46</v>
      </c>
      <c r="D1925">
        <v>105.41306</v>
      </c>
      <c r="E1925" s="1">
        <v>45505</v>
      </c>
      <c r="F1925">
        <f t="shared" si="60"/>
        <v>8</v>
      </c>
      <c r="G1925">
        <f t="shared" si="61"/>
        <v>2024</v>
      </c>
    </row>
    <row r="1926" spans="1:7" x14ac:dyDescent="0.25">
      <c r="A1926" t="s">
        <v>12</v>
      </c>
      <c r="B1926" t="s">
        <v>7</v>
      </c>
      <c r="C1926">
        <v>107.48</v>
      </c>
      <c r="D1926">
        <v>102.89103</v>
      </c>
      <c r="E1926" s="1">
        <v>45536</v>
      </c>
      <c r="F1926">
        <f t="shared" si="60"/>
        <v>9</v>
      </c>
      <c r="G1926">
        <f t="shared" si="61"/>
        <v>2024</v>
      </c>
    </row>
    <row r="1927" spans="1:7" x14ac:dyDescent="0.25">
      <c r="A1927" t="s">
        <v>12</v>
      </c>
      <c r="B1927" t="s">
        <v>7</v>
      </c>
      <c r="C1927">
        <v>110.65</v>
      </c>
      <c r="D1927">
        <v>114.0386</v>
      </c>
      <c r="E1927" s="1">
        <v>45566</v>
      </c>
      <c r="F1927">
        <f t="shared" si="60"/>
        <v>10</v>
      </c>
      <c r="G1927">
        <f t="shared" si="61"/>
        <v>2024</v>
      </c>
    </row>
    <row r="1928" spans="1:7" x14ac:dyDescent="0.25">
      <c r="A1928" t="s">
        <v>12</v>
      </c>
      <c r="B1928" t="s">
        <v>7</v>
      </c>
      <c r="C1928">
        <v>107.53</v>
      </c>
      <c r="D1928">
        <v>114.95052</v>
      </c>
      <c r="E1928" s="1">
        <v>45597</v>
      </c>
      <c r="F1928">
        <f t="shared" si="60"/>
        <v>11</v>
      </c>
      <c r="G1928">
        <f t="shared" si="61"/>
        <v>2024</v>
      </c>
    </row>
    <row r="1929" spans="1:7" x14ac:dyDescent="0.25">
      <c r="A1929" t="s">
        <v>12</v>
      </c>
      <c r="B1929" t="s">
        <v>7</v>
      </c>
      <c r="C1929">
        <v>113.18</v>
      </c>
      <c r="D1929">
        <v>128.34293</v>
      </c>
      <c r="E1929" s="1">
        <v>45627</v>
      </c>
      <c r="F1929">
        <f t="shared" si="60"/>
        <v>12</v>
      </c>
      <c r="G1929">
        <f t="shared" si="61"/>
        <v>2024</v>
      </c>
    </row>
    <row r="1930" spans="1:7" x14ac:dyDescent="0.25">
      <c r="A1930" t="s">
        <v>12</v>
      </c>
      <c r="B1930" t="s">
        <v>7</v>
      </c>
      <c r="C1930">
        <v>106.96</v>
      </c>
      <c r="D1930">
        <v>109.64302000000001</v>
      </c>
      <c r="E1930" s="1">
        <v>45658</v>
      </c>
      <c r="F1930">
        <f t="shared" si="60"/>
        <v>1</v>
      </c>
      <c r="G1930">
        <f t="shared" si="61"/>
        <v>2025</v>
      </c>
    </row>
    <row r="1931" spans="1:7" x14ac:dyDescent="0.25">
      <c r="A1931" t="s">
        <v>12</v>
      </c>
      <c r="B1931" t="s">
        <v>7</v>
      </c>
      <c r="C1931">
        <v>107.08</v>
      </c>
      <c r="D1931">
        <v>93.839340000000007</v>
      </c>
      <c r="E1931" s="1">
        <v>45689</v>
      </c>
      <c r="F1931">
        <f t="shared" si="60"/>
        <v>2</v>
      </c>
      <c r="G1931">
        <f t="shared" si="61"/>
        <v>2025</v>
      </c>
    </row>
    <row r="1932" spans="1:7" x14ac:dyDescent="0.25">
      <c r="A1932" t="s">
        <v>12</v>
      </c>
      <c r="B1932" t="s">
        <v>7</v>
      </c>
      <c r="C1932">
        <v>107.94</v>
      </c>
      <c r="D1932">
        <v>106.36599</v>
      </c>
      <c r="E1932" s="1">
        <v>45717</v>
      </c>
      <c r="F1932">
        <f t="shared" si="60"/>
        <v>3</v>
      </c>
      <c r="G1932">
        <f t="shared" si="61"/>
        <v>2025</v>
      </c>
    </row>
    <row r="1933" spans="1:7" x14ac:dyDescent="0.25">
      <c r="A1933" t="s">
        <v>12</v>
      </c>
      <c r="B1933" t="s">
        <v>7</v>
      </c>
      <c r="C1933">
        <v>109.68</v>
      </c>
      <c r="D1933">
        <v>104.52422</v>
      </c>
      <c r="E1933" s="1">
        <v>45748</v>
      </c>
      <c r="F1933">
        <f t="shared" si="60"/>
        <v>4</v>
      </c>
      <c r="G1933">
        <f t="shared" si="61"/>
        <v>2025</v>
      </c>
    </row>
    <row r="1934" spans="1:7" x14ac:dyDescent="0.25">
      <c r="A1934" t="s">
        <v>12</v>
      </c>
      <c r="B1934" t="s">
        <v>7</v>
      </c>
      <c r="C1934">
        <v>107.19</v>
      </c>
      <c r="D1934">
        <v>107.38896</v>
      </c>
      <c r="E1934" s="1">
        <v>45778</v>
      </c>
      <c r="F1934">
        <f t="shared" si="60"/>
        <v>5</v>
      </c>
      <c r="G1934">
        <f t="shared" si="61"/>
        <v>2025</v>
      </c>
    </row>
    <row r="1935" spans="1:7" x14ac:dyDescent="0.25">
      <c r="A1935" t="s">
        <v>12</v>
      </c>
      <c r="B1935" t="s">
        <v>7</v>
      </c>
      <c r="C1935">
        <v>107.24</v>
      </c>
      <c r="D1935">
        <v>101.7975</v>
      </c>
      <c r="E1935" s="1">
        <v>45809</v>
      </c>
      <c r="F1935">
        <f t="shared" si="60"/>
        <v>6</v>
      </c>
      <c r="G1935">
        <f t="shared" si="61"/>
        <v>2025</v>
      </c>
    </row>
    <row r="1936" spans="1:7" x14ac:dyDescent="0.25">
      <c r="A1936" t="s">
        <v>12</v>
      </c>
      <c r="B1936" t="s">
        <v>7</v>
      </c>
      <c r="C1936">
        <v>108.7</v>
      </c>
      <c r="D1936">
        <v>110.91119</v>
      </c>
      <c r="E1936" s="1">
        <v>45839</v>
      </c>
      <c r="F1936">
        <f t="shared" si="60"/>
        <v>7</v>
      </c>
      <c r="G1936">
        <f t="shared" si="61"/>
        <v>2025</v>
      </c>
    </row>
    <row r="1937" spans="1:7" x14ac:dyDescent="0.25">
      <c r="A1937" t="s">
        <v>12</v>
      </c>
      <c r="B1937" t="s">
        <v>7</v>
      </c>
      <c r="C1937">
        <v>109.38</v>
      </c>
      <c r="D1937">
        <v>105.97723999999999</v>
      </c>
      <c r="E1937" s="1">
        <v>45870</v>
      </c>
      <c r="F1937">
        <f t="shared" si="60"/>
        <v>8</v>
      </c>
      <c r="G1937">
        <f t="shared" si="61"/>
        <v>2025</v>
      </c>
    </row>
    <row r="1938" spans="1:7" x14ac:dyDescent="0.25">
      <c r="A1938" t="s">
        <v>12</v>
      </c>
      <c r="B1938" t="s">
        <v>6</v>
      </c>
      <c r="C1938">
        <v>78.03</v>
      </c>
      <c r="D1938">
        <v>73.630830000000003</v>
      </c>
      <c r="E1938" s="1">
        <v>40544</v>
      </c>
      <c r="F1938">
        <f t="shared" si="60"/>
        <v>1</v>
      </c>
      <c r="G1938">
        <f t="shared" si="61"/>
        <v>2011</v>
      </c>
    </row>
    <row r="1939" spans="1:7" x14ac:dyDescent="0.25">
      <c r="A1939" t="s">
        <v>12</v>
      </c>
      <c r="B1939" t="s">
        <v>6</v>
      </c>
      <c r="C1939">
        <v>78.650000000000006</v>
      </c>
      <c r="D1939">
        <v>73.314260000000004</v>
      </c>
      <c r="E1939" s="1">
        <v>40575</v>
      </c>
      <c r="F1939">
        <f t="shared" si="60"/>
        <v>2</v>
      </c>
      <c r="G1939">
        <f t="shared" si="61"/>
        <v>2011</v>
      </c>
    </row>
    <row r="1940" spans="1:7" x14ac:dyDescent="0.25">
      <c r="A1940" t="s">
        <v>12</v>
      </c>
      <c r="B1940" t="s">
        <v>6</v>
      </c>
      <c r="C1940">
        <v>79</v>
      </c>
      <c r="D1940">
        <v>77.555009999999996</v>
      </c>
      <c r="E1940" s="1">
        <v>40603</v>
      </c>
      <c r="F1940">
        <f t="shared" si="60"/>
        <v>3</v>
      </c>
      <c r="G1940">
        <f t="shared" si="61"/>
        <v>2011</v>
      </c>
    </row>
    <row r="1941" spans="1:7" x14ac:dyDescent="0.25">
      <c r="A1941" t="s">
        <v>12</v>
      </c>
      <c r="B1941" t="s">
        <v>6</v>
      </c>
      <c r="C1941">
        <v>80.36</v>
      </c>
      <c r="D1941">
        <v>77.562669999999997</v>
      </c>
      <c r="E1941" s="1">
        <v>40634</v>
      </c>
      <c r="F1941">
        <f t="shared" si="60"/>
        <v>4</v>
      </c>
      <c r="G1941">
        <f t="shared" si="61"/>
        <v>2011</v>
      </c>
    </row>
    <row r="1942" spans="1:7" x14ac:dyDescent="0.25">
      <c r="A1942" t="s">
        <v>12</v>
      </c>
      <c r="B1942" t="s">
        <v>6</v>
      </c>
      <c r="C1942">
        <v>80.66</v>
      </c>
      <c r="D1942">
        <v>80.377809999999997</v>
      </c>
      <c r="E1942" s="1">
        <v>40664</v>
      </c>
      <c r="F1942">
        <f t="shared" si="60"/>
        <v>5</v>
      </c>
      <c r="G1942">
        <f t="shared" si="61"/>
        <v>2011</v>
      </c>
    </row>
    <row r="1943" spans="1:7" x14ac:dyDescent="0.25">
      <c r="A1943" t="s">
        <v>12</v>
      </c>
      <c r="B1943" t="s">
        <v>6</v>
      </c>
      <c r="C1943">
        <v>80.97</v>
      </c>
      <c r="D1943">
        <v>80.248559999999998</v>
      </c>
      <c r="E1943" s="1">
        <v>40695</v>
      </c>
      <c r="F1943">
        <f t="shared" si="60"/>
        <v>6</v>
      </c>
      <c r="G1943">
        <f t="shared" si="61"/>
        <v>2011</v>
      </c>
    </row>
    <row r="1944" spans="1:7" x14ac:dyDescent="0.25">
      <c r="A1944" t="s">
        <v>12</v>
      </c>
      <c r="B1944" t="s">
        <v>6</v>
      </c>
      <c r="C1944">
        <v>81.819999999999993</v>
      </c>
      <c r="D1944">
        <v>80.693619999999996</v>
      </c>
      <c r="E1944" s="1">
        <v>40725</v>
      </c>
      <c r="F1944">
        <f t="shared" si="60"/>
        <v>7</v>
      </c>
      <c r="G1944">
        <f t="shared" si="61"/>
        <v>2011</v>
      </c>
    </row>
    <row r="1945" spans="1:7" x14ac:dyDescent="0.25">
      <c r="A1945" t="s">
        <v>12</v>
      </c>
      <c r="B1945" t="s">
        <v>6</v>
      </c>
      <c r="C1945">
        <v>81.540000000000006</v>
      </c>
      <c r="D1945">
        <v>83.146749999999997</v>
      </c>
      <c r="E1945" s="1">
        <v>40756</v>
      </c>
      <c r="F1945">
        <f t="shared" si="60"/>
        <v>8</v>
      </c>
      <c r="G1945">
        <f t="shared" si="61"/>
        <v>2011</v>
      </c>
    </row>
    <row r="1946" spans="1:7" x14ac:dyDescent="0.25">
      <c r="A1946" t="s">
        <v>12</v>
      </c>
      <c r="B1946" t="s">
        <v>6</v>
      </c>
      <c r="C1946">
        <v>80.569999999999993</v>
      </c>
      <c r="D1946">
        <v>82.117900000000006</v>
      </c>
      <c r="E1946" s="1">
        <v>40787</v>
      </c>
      <c r="F1946">
        <f t="shared" si="60"/>
        <v>9</v>
      </c>
      <c r="G1946">
        <f t="shared" si="61"/>
        <v>2011</v>
      </c>
    </row>
    <row r="1947" spans="1:7" x14ac:dyDescent="0.25">
      <c r="A1947" t="s">
        <v>12</v>
      </c>
      <c r="B1947" t="s">
        <v>6</v>
      </c>
      <c r="C1947">
        <v>80.33</v>
      </c>
      <c r="D1947">
        <v>81.557609999999997</v>
      </c>
      <c r="E1947" s="1">
        <v>40817</v>
      </c>
      <c r="F1947">
        <f t="shared" si="60"/>
        <v>10</v>
      </c>
      <c r="G1947">
        <f t="shared" si="61"/>
        <v>2011</v>
      </c>
    </row>
    <row r="1948" spans="1:7" x14ac:dyDescent="0.25">
      <c r="A1948" t="s">
        <v>12</v>
      </c>
      <c r="B1948" t="s">
        <v>6</v>
      </c>
      <c r="C1948">
        <v>80.89</v>
      </c>
      <c r="D1948">
        <v>83.477950000000007</v>
      </c>
      <c r="E1948" s="1">
        <v>40848</v>
      </c>
      <c r="F1948">
        <f t="shared" si="60"/>
        <v>11</v>
      </c>
      <c r="G1948">
        <f t="shared" si="61"/>
        <v>2011</v>
      </c>
    </row>
    <row r="1949" spans="1:7" x14ac:dyDescent="0.25">
      <c r="A1949" t="s">
        <v>12</v>
      </c>
      <c r="B1949" t="s">
        <v>6</v>
      </c>
      <c r="C1949">
        <v>80.64</v>
      </c>
      <c r="D1949">
        <v>88.894639999999995</v>
      </c>
      <c r="E1949" s="1">
        <v>40878</v>
      </c>
      <c r="F1949">
        <f t="shared" si="60"/>
        <v>12</v>
      </c>
      <c r="G1949">
        <f t="shared" si="61"/>
        <v>2011</v>
      </c>
    </row>
    <row r="1950" spans="1:7" x14ac:dyDescent="0.25">
      <c r="A1950" t="s">
        <v>12</v>
      </c>
      <c r="B1950" t="s">
        <v>6</v>
      </c>
      <c r="C1950">
        <v>81.13</v>
      </c>
      <c r="D1950">
        <v>77.369990000000001</v>
      </c>
      <c r="E1950" s="1">
        <v>40909</v>
      </c>
      <c r="F1950">
        <f t="shared" si="60"/>
        <v>1</v>
      </c>
      <c r="G1950">
        <f t="shared" si="61"/>
        <v>2012</v>
      </c>
    </row>
    <row r="1951" spans="1:7" x14ac:dyDescent="0.25">
      <c r="A1951" t="s">
        <v>12</v>
      </c>
      <c r="B1951" t="s">
        <v>6</v>
      </c>
      <c r="C1951">
        <v>81.37</v>
      </c>
      <c r="D1951">
        <v>76.393249999999995</v>
      </c>
      <c r="E1951" s="1">
        <v>40940</v>
      </c>
      <c r="F1951">
        <f t="shared" si="60"/>
        <v>2</v>
      </c>
      <c r="G1951">
        <f t="shared" si="61"/>
        <v>2012</v>
      </c>
    </row>
    <row r="1952" spans="1:7" x14ac:dyDescent="0.25">
      <c r="A1952" t="s">
        <v>12</v>
      </c>
      <c r="B1952" t="s">
        <v>6</v>
      </c>
      <c r="C1952">
        <v>82.56</v>
      </c>
      <c r="D1952">
        <v>82.876279999999994</v>
      </c>
      <c r="E1952" s="1">
        <v>40969</v>
      </c>
      <c r="F1952">
        <f t="shared" si="60"/>
        <v>3</v>
      </c>
      <c r="G1952">
        <f t="shared" si="61"/>
        <v>2012</v>
      </c>
    </row>
    <row r="1953" spans="1:7" x14ac:dyDescent="0.25">
      <c r="A1953" t="s">
        <v>12</v>
      </c>
      <c r="B1953" t="s">
        <v>6</v>
      </c>
      <c r="C1953">
        <v>81.92</v>
      </c>
      <c r="D1953">
        <v>78.618250000000003</v>
      </c>
      <c r="E1953" s="1">
        <v>41000</v>
      </c>
      <c r="F1953">
        <f t="shared" si="60"/>
        <v>4</v>
      </c>
      <c r="G1953">
        <f t="shared" si="61"/>
        <v>2012</v>
      </c>
    </row>
    <row r="1954" spans="1:7" x14ac:dyDescent="0.25">
      <c r="A1954" t="s">
        <v>12</v>
      </c>
      <c r="B1954" t="s">
        <v>6</v>
      </c>
      <c r="C1954">
        <v>82.98</v>
      </c>
      <c r="D1954">
        <v>83.44014</v>
      </c>
      <c r="E1954" s="1">
        <v>41030</v>
      </c>
      <c r="F1954">
        <f t="shared" si="60"/>
        <v>5</v>
      </c>
      <c r="G1954">
        <f t="shared" si="61"/>
        <v>2012</v>
      </c>
    </row>
    <row r="1955" spans="1:7" x14ac:dyDescent="0.25">
      <c r="A1955" t="s">
        <v>12</v>
      </c>
      <c r="B1955" t="s">
        <v>6</v>
      </c>
      <c r="C1955">
        <v>82.78</v>
      </c>
      <c r="D1955">
        <v>81.798000000000002</v>
      </c>
      <c r="E1955" s="1">
        <v>41061</v>
      </c>
      <c r="F1955">
        <f t="shared" si="60"/>
        <v>6</v>
      </c>
      <c r="G1955">
        <f t="shared" si="61"/>
        <v>2012</v>
      </c>
    </row>
    <row r="1956" spans="1:7" x14ac:dyDescent="0.25">
      <c r="A1956" t="s">
        <v>12</v>
      </c>
      <c r="B1956" t="s">
        <v>6</v>
      </c>
      <c r="C1956">
        <v>83.66</v>
      </c>
      <c r="D1956">
        <v>82.870339999999999</v>
      </c>
      <c r="E1956" s="1">
        <v>41091</v>
      </c>
      <c r="F1956">
        <f t="shared" si="60"/>
        <v>7</v>
      </c>
      <c r="G1956">
        <f t="shared" si="61"/>
        <v>2012</v>
      </c>
    </row>
    <row r="1957" spans="1:7" x14ac:dyDescent="0.25">
      <c r="A1957" t="s">
        <v>12</v>
      </c>
      <c r="B1957" t="s">
        <v>6</v>
      </c>
      <c r="C1957">
        <v>84.49</v>
      </c>
      <c r="D1957">
        <v>86.419280000000001</v>
      </c>
      <c r="E1957" s="1">
        <v>41122</v>
      </c>
      <c r="F1957">
        <f t="shared" si="60"/>
        <v>8</v>
      </c>
      <c r="G1957">
        <f t="shared" si="61"/>
        <v>2012</v>
      </c>
    </row>
    <row r="1958" spans="1:7" x14ac:dyDescent="0.25">
      <c r="A1958" t="s">
        <v>12</v>
      </c>
      <c r="B1958" t="s">
        <v>6</v>
      </c>
      <c r="C1958">
        <v>84.38</v>
      </c>
      <c r="D1958">
        <v>84.573809999999995</v>
      </c>
      <c r="E1958" s="1">
        <v>41153</v>
      </c>
      <c r="F1958">
        <f t="shared" si="60"/>
        <v>9</v>
      </c>
      <c r="G1958">
        <f t="shared" si="61"/>
        <v>2012</v>
      </c>
    </row>
    <row r="1959" spans="1:7" x14ac:dyDescent="0.25">
      <c r="A1959" t="s">
        <v>12</v>
      </c>
      <c r="B1959" t="s">
        <v>6</v>
      </c>
      <c r="C1959">
        <v>84.32</v>
      </c>
      <c r="D1959">
        <v>87.119929999999997</v>
      </c>
      <c r="E1959" s="1">
        <v>41183</v>
      </c>
      <c r="F1959">
        <f t="shared" si="60"/>
        <v>10</v>
      </c>
      <c r="G1959">
        <f t="shared" si="61"/>
        <v>2012</v>
      </c>
    </row>
    <row r="1960" spans="1:7" x14ac:dyDescent="0.25">
      <c r="A1960" t="s">
        <v>12</v>
      </c>
      <c r="B1960" t="s">
        <v>6</v>
      </c>
      <c r="C1960">
        <v>84.43</v>
      </c>
      <c r="D1960">
        <v>87.046959999999999</v>
      </c>
      <c r="E1960" s="1">
        <v>41214</v>
      </c>
      <c r="F1960">
        <f t="shared" si="60"/>
        <v>11</v>
      </c>
      <c r="G1960">
        <f t="shared" si="61"/>
        <v>2012</v>
      </c>
    </row>
    <row r="1961" spans="1:7" x14ac:dyDescent="0.25">
      <c r="A1961" t="s">
        <v>12</v>
      </c>
      <c r="B1961" t="s">
        <v>6</v>
      </c>
      <c r="C1961">
        <v>86.23</v>
      </c>
      <c r="D1961">
        <v>93.907740000000004</v>
      </c>
      <c r="E1961" s="1">
        <v>41244</v>
      </c>
      <c r="F1961">
        <f t="shared" si="60"/>
        <v>12</v>
      </c>
      <c r="G1961">
        <f t="shared" si="61"/>
        <v>2012</v>
      </c>
    </row>
    <row r="1962" spans="1:7" x14ac:dyDescent="0.25">
      <c r="A1962" t="s">
        <v>12</v>
      </c>
      <c r="B1962" t="s">
        <v>6</v>
      </c>
      <c r="C1962">
        <v>86.24</v>
      </c>
      <c r="D1962">
        <v>82.988519999999994</v>
      </c>
      <c r="E1962" s="1">
        <v>41275</v>
      </c>
      <c r="F1962">
        <f t="shared" si="60"/>
        <v>1</v>
      </c>
      <c r="G1962">
        <f t="shared" si="61"/>
        <v>2013</v>
      </c>
    </row>
    <row r="1963" spans="1:7" x14ac:dyDescent="0.25">
      <c r="A1963" t="s">
        <v>12</v>
      </c>
      <c r="B1963" t="s">
        <v>6</v>
      </c>
      <c r="C1963">
        <v>87.32</v>
      </c>
      <c r="D1963">
        <v>78.886200000000002</v>
      </c>
      <c r="E1963" s="1">
        <v>41306</v>
      </c>
      <c r="F1963">
        <f t="shared" si="60"/>
        <v>2</v>
      </c>
      <c r="G1963">
        <f t="shared" si="61"/>
        <v>2013</v>
      </c>
    </row>
    <row r="1964" spans="1:7" x14ac:dyDescent="0.25">
      <c r="A1964" t="s">
        <v>12</v>
      </c>
      <c r="B1964" t="s">
        <v>6</v>
      </c>
      <c r="C1964">
        <v>85.5</v>
      </c>
      <c r="D1964">
        <v>84.199780000000004</v>
      </c>
      <c r="E1964" s="1">
        <v>41334</v>
      </c>
      <c r="F1964">
        <f t="shared" si="60"/>
        <v>3</v>
      </c>
      <c r="G1964">
        <f t="shared" si="61"/>
        <v>2013</v>
      </c>
    </row>
    <row r="1965" spans="1:7" x14ac:dyDescent="0.25">
      <c r="A1965" t="s">
        <v>12</v>
      </c>
      <c r="B1965" t="s">
        <v>6</v>
      </c>
      <c r="C1965">
        <v>87.6</v>
      </c>
      <c r="D1965">
        <v>85.900139999999993</v>
      </c>
      <c r="E1965" s="1">
        <v>41365</v>
      </c>
      <c r="F1965">
        <f t="shared" si="60"/>
        <v>4</v>
      </c>
      <c r="G1965">
        <f t="shared" si="61"/>
        <v>2013</v>
      </c>
    </row>
    <row r="1966" spans="1:7" x14ac:dyDescent="0.25">
      <c r="A1966" t="s">
        <v>12</v>
      </c>
      <c r="B1966" t="s">
        <v>6</v>
      </c>
      <c r="C1966">
        <v>87.17</v>
      </c>
      <c r="D1966">
        <v>87.215630000000004</v>
      </c>
      <c r="E1966" s="1">
        <v>41395</v>
      </c>
      <c r="F1966">
        <f t="shared" si="60"/>
        <v>5</v>
      </c>
      <c r="G1966">
        <f t="shared" si="61"/>
        <v>2013</v>
      </c>
    </row>
    <row r="1967" spans="1:7" x14ac:dyDescent="0.25">
      <c r="A1967" t="s">
        <v>12</v>
      </c>
      <c r="B1967" t="s">
        <v>6</v>
      </c>
      <c r="C1967">
        <v>87.52</v>
      </c>
      <c r="D1967">
        <v>86.300910000000002</v>
      </c>
      <c r="E1967" s="1">
        <v>41426</v>
      </c>
      <c r="F1967">
        <f t="shared" si="60"/>
        <v>6</v>
      </c>
      <c r="G1967">
        <f t="shared" si="61"/>
        <v>2013</v>
      </c>
    </row>
    <row r="1968" spans="1:7" x14ac:dyDescent="0.25">
      <c r="A1968" t="s">
        <v>12</v>
      </c>
      <c r="B1968" t="s">
        <v>6</v>
      </c>
      <c r="C1968">
        <v>87.09</v>
      </c>
      <c r="D1968">
        <v>86.939490000000006</v>
      </c>
      <c r="E1968" s="1">
        <v>41456</v>
      </c>
      <c r="F1968">
        <f t="shared" si="60"/>
        <v>7</v>
      </c>
      <c r="G1968">
        <f t="shared" si="61"/>
        <v>2013</v>
      </c>
    </row>
    <row r="1969" spans="1:7" x14ac:dyDescent="0.25">
      <c r="A1969" t="s">
        <v>12</v>
      </c>
      <c r="B1969" t="s">
        <v>6</v>
      </c>
      <c r="C1969">
        <v>86.52</v>
      </c>
      <c r="D1969">
        <v>87.751109999999997</v>
      </c>
      <c r="E1969" s="1">
        <v>41487</v>
      </c>
      <c r="F1969">
        <f t="shared" si="60"/>
        <v>8</v>
      </c>
      <c r="G1969">
        <f t="shared" si="61"/>
        <v>2013</v>
      </c>
    </row>
    <row r="1970" spans="1:7" x14ac:dyDescent="0.25">
      <c r="A1970" t="s">
        <v>12</v>
      </c>
      <c r="B1970" t="s">
        <v>6</v>
      </c>
      <c r="C1970">
        <v>87.82</v>
      </c>
      <c r="D1970">
        <v>88.461680000000001</v>
      </c>
      <c r="E1970" s="1">
        <v>41518</v>
      </c>
      <c r="F1970">
        <f t="shared" si="60"/>
        <v>9</v>
      </c>
      <c r="G1970">
        <f t="shared" si="61"/>
        <v>2013</v>
      </c>
    </row>
    <row r="1971" spans="1:7" x14ac:dyDescent="0.25">
      <c r="A1971" t="s">
        <v>12</v>
      </c>
      <c r="B1971" t="s">
        <v>6</v>
      </c>
      <c r="C1971">
        <v>88.95</v>
      </c>
      <c r="D1971">
        <v>92.043880000000001</v>
      </c>
      <c r="E1971" s="1">
        <v>41548</v>
      </c>
      <c r="F1971">
        <f t="shared" si="60"/>
        <v>10</v>
      </c>
      <c r="G1971">
        <f t="shared" si="61"/>
        <v>2013</v>
      </c>
    </row>
    <row r="1972" spans="1:7" x14ac:dyDescent="0.25">
      <c r="A1972" t="s">
        <v>12</v>
      </c>
      <c r="B1972" t="s">
        <v>6</v>
      </c>
      <c r="C1972">
        <v>89.47</v>
      </c>
      <c r="D1972">
        <v>91.540800000000004</v>
      </c>
      <c r="E1972" s="1">
        <v>41579</v>
      </c>
      <c r="F1972">
        <f t="shared" si="60"/>
        <v>11</v>
      </c>
      <c r="G1972">
        <f t="shared" si="61"/>
        <v>2013</v>
      </c>
    </row>
    <row r="1973" spans="1:7" x14ac:dyDescent="0.25">
      <c r="A1973" t="s">
        <v>12</v>
      </c>
      <c r="B1973" t="s">
        <v>6</v>
      </c>
      <c r="C1973">
        <v>89.52</v>
      </c>
      <c r="D1973">
        <v>98.622649999999993</v>
      </c>
      <c r="E1973" s="1">
        <v>41609</v>
      </c>
      <c r="F1973">
        <f t="shared" si="60"/>
        <v>12</v>
      </c>
      <c r="G1973">
        <f t="shared" si="61"/>
        <v>2013</v>
      </c>
    </row>
    <row r="1974" spans="1:7" x14ac:dyDescent="0.25">
      <c r="A1974" t="s">
        <v>12</v>
      </c>
      <c r="B1974" t="s">
        <v>6</v>
      </c>
      <c r="C1974">
        <v>92.39</v>
      </c>
      <c r="D1974">
        <v>88.929169999999999</v>
      </c>
      <c r="E1974" s="1">
        <v>41640</v>
      </c>
      <c r="F1974">
        <f t="shared" si="60"/>
        <v>1</v>
      </c>
      <c r="G1974">
        <f t="shared" si="61"/>
        <v>2014</v>
      </c>
    </row>
    <row r="1975" spans="1:7" x14ac:dyDescent="0.25">
      <c r="A1975" t="s">
        <v>12</v>
      </c>
      <c r="B1975" t="s">
        <v>6</v>
      </c>
      <c r="C1975">
        <v>89.04</v>
      </c>
      <c r="D1975">
        <v>82.195170000000005</v>
      </c>
      <c r="E1975" s="1">
        <v>41671</v>
      </c>
      <c r="F1975">
        <f t="shared" si="60"/>
        <v>2</v>
      </c>
      <c r="G1975">
        <f t="shared" si="61"/>
        <v>2014</v>
      </c>
    </row>
    <row r="1976" spans="1:7" x14ac:dyDescent="0.25">
      <c r="A1976" t="s">
        <v>12</v>
      </c>
      <c r="B1976" t="s">
        <v>6</v>
      </c>
      <c r="C1976">
        <v>89.19</v>
      </c>
      <c r="D1976">
        <v>86.438680000000005</v>
      </c>
      <c r="E1976" s="1">
        <v>41699</v>
      </c>
      <c r="F1976">
        <f t="shared" si="60"/>
        <v>3</v>
      </c>
      <c r="G1976">
        <f t="shared" si="61"/>
        <v>2014</v>
      </c>
    </row>
    <row r="1977" spans="1:7" x14ac:dyDescent="0.25">
      <c r="A1977" t="s">
        <v>12</v>
      </c>
      <c r="B1977" t="s">
        <v>6</v>
      </c>
      <c r="C1977">
        <v>89.18</v>
      </c>
      <c r="D1977">
        <v>86.527919999999995</v>
      </c>
      <c r="E1977" s="1">
        <v>41730</v>
      </c>
      <c r="F1977">
        <f t="shared" si="60"/>
        <v>4</v>
      </c>
      <c r="G1977">
        <f t="shared" si="61"/>
        <v>2014</v>
      </c>
    </row>
    <row r="1978" spans="1:7" x14ac:dyDescent="0.25">
      <c r="A1978" t="s">
        <v>12</v>
      </c>
      <c r="B1978" t="s">
        <v>6</v>
      </c>
      <c r="C1978">
        <v>89.05</v>
      </c>
      <c r="D1978">
        <v>88.844880000000003</v>
      </c>
      <c r="E1978" s="1">
        <v>41760</v>
      </c>
      <c r="F1978">
        <f t="shared" si="60"/>
        <v>5</v>
      </c>
      <c r="G1978">
        <f t="shared" si="61"/>
        <v>2014</v>
      </c>
    </row>
    <row r="1979" spans="1:7" x14ac:dyDescent="0.25">
      <c r="A1979" t="s">
        <v>12</v>
      </c>
      <c r="B1979" t="s">
        <v>6</v>
      </c>
      <c r="C1979">
        <v>88.49</v>
      </c>
      <c r="D1979">
        <v>87.364400000000003</v>
      </c>
      <c r="E1979" s="1">
        <v>41791</v>
      </c>
      <c r="F1979">
        <f t="shared" si="60"/>
        <v>6</v>
      </c>
      <c r="G1979">
        <f t="shared" si="61"/>
        <v>2014</v>
      </c>
    </row>
    <row r="1980" spans="1:7" x14ac:dyDescent="0.25">
      <c r="A1980" t="s">
        <v>12</v>
      </c>
      <c r="B1980" t="s">
        <v>6</v>
      </c>
      <c r="C1980">
        <v>89.12</v>
      </c>
      <c r="D1980">
        <v>89.188400000000001</v>
      </c>
      <c r="E1980" s="1">
        <v>41821</v>
      </c>
      <c r="F1980">
        <f t="shared" si="60"/>
        <v>7</v>
      </c>
      <c r="G1980">
        <f t="shared" si="61"/>
        <v>2014</v>
      </c>
    </row>
    <row r="1981" spans="1:7" x14ac:dyDescent="0.25">
      <c r="A1981" t="s">
        <v>12</v>
      </c>
      <c r="B1981" t="s">
        <v>6</v>
      </c>
      <c r="C1981">
        <v>89.28</v>
      </c>
      <c r="D1981">
        <v>90.001940000000005</v>
      </c>
      <c r="E1981" s="1">
        <v>41852</v>
      </c>
      <c r="F1981">
        <f t="shared" si="60"/>
        <v>8</v>
      </c>
      <c r="G1981">
        <f t="shared" si="61"/>
        <v>2014</v>
      </c>
    </row>
    <row r="1982" spans="1:7" x14ac:dyDescent="0.25">
      <c r="A1982" t="s">
        <v>12</v>
      </c>
      <c r="B1982" t="s">
        <v>6</v>
      </c>
      <c r="C1982">
        <v>91.18</v>
      </c>
      <c r="D1982">
        <v>92.705569999999994</v>
      </c>
      <c r="E1982" s="1">
        <v>41883</v>
      </c>
      <c r="F1982">
        <f t="shared" si="60"/>
        <v>9</v>
      </c>
      <c r="G1982">
        <f t="shared" si="61"/>
        <v>2014</v>
      </c>
    </row>
    <row r="1983" spans="1:7" x14ac:dyDescent="0.25">
      <c r="A1983" t="s">
        <v>12</v>
      </c>
      <c r="B1983" t="s">
        <v>6</v>
      </c>
      <c r="C1983">
        <v>91.54</v>
      </c>
      <c r="D1983">
        <v>94.745260000000002</v>
      </c>
      <c r="E1983" s="1">
        <v>41913</v>
      </c>
      <c r="F1983">
        <f t="shared" si="60"/>
        <v>10</v>
      </c>
      <c r="G1983">
        <f t="shared" si="61"/>
        <v>2014</v>
      </c>
    </row>
    <row r="1984" spans="1:7" x14ac:dyDescent="0.25">
      <c r="A1984" t="s">
        <v>12</v>
      </c>
      <c r="B1984" t="s">
        <v>6</v>
      </c>
      <c r="C1984">
        <v>91.34</v>
      </c>
      <c r="D1984">
        <v>92.521370000000005</v>
      </c>
      <c r="E1984" s="1">
        <v>41944</v>
      </c>
      <c r="F1984">
        <f t="shared" si="60"/>
        <v>11</v>
      </c>
      <c r="G1984">
        <f t="shared" si="61"/>
        <v>2014</v>
      </c>
    </row>
    <row r="1985" spans="1:7" x14ac:dyDescent="0.25">
      <c r="A1985" t="s">
        <v>12</v>
      </c>
      <c r="B1985" t="s">
        <v>6</v>
      </c>
      <c r="C1985">
        <v>89.33</v>
      </c>
      <c r="D1985">
        <v>99.251329999999996</v>
      </c>
      <c r="E1985" s="1">
        <v>41974</v>
      </c>
      <c r="F1985">
        <f t="shared" si="60"/>
        <v>12</v>
      </c>
      <c r="G1985">
        <f t="shared" si="61"/>
        <v>2014</v>
      </c>
    </row>
    <row r="1986" spans="1:7" x14ac:dyDescent="0.25">
      <c r="A1986" t="s">
        <v>12</v>
      </c>
      <c r="B1986" t="s">
        <v>6</v>
      </c>
      <c r="C1986">
        <v>89.61</v>
      </c>
      <c r="D1986">
        <v>85.477810000000005</v>
      </c>
      <c r="E1986" s="1">
        <v>42005</v>
      </c>
      <c r="F1986">
        <f t="shared" ref="F1986:F2049" si="62">MONTH(E1986)</f>
        <v>1</v>
      </c>
      <c r="G1986">
        <f t="shared" ref="G1986:G2049" si="63">YEAR(E1986)</f>
        <v>2015</v>
      </c>
    </row>
    <row r="1987" spans="1:7" x14ac:dyDescent="0.25">
      <c r="A1987" t="s">
        <v>12</v>
      </c>
      <c r="B1987" t="s">
        <v>6</v>
      </c>
      <c r="C1987">
        <v>90.61</v>
      </c>
      <c r="D1987">
        <v>81.726119999999995</v>
      </c>
      <c r="E1987" s="1">
        <v>42036</v>
      </c>
      <c r="F1987">
        <f t="shared" si="62"/>
        <v>2</v>
      </c>
      <c r="G1987">
        <f t="shared" si="63"/>
        <v>2015</v>
      </c>
    </row>
    <row r="1988" spans="1:7" x14ac:dyDescent="0.25">
      <c r="A1988" t="s">
        <v>12</v>
      </c>
      <c r="B1988" t="s">
        <v>6</v>
      </c>
      <c r="C1988">
        <v>91</v>
      </c>
      <c r="D1988">
        <v>91.112520000000004</v>
      </c>
      <c r="E1988" s="1">
        <v>42064</v>
      </c>
      <c r="F1988">
        <f t="shared" si="62"/>
        <v>3</v>
      </c>
      <c r="G1988">
        <f t="shared" si="63"/>
        <v>2015</v>
      </c>
    </row>
    <row r="1989" spans="1:7" x14ac:dyDescent="0.25">
      <c r="A1989" t="s">
        <v>12</v>
      </c>
      <c r="B1989" t="s">
        <v>6</v>
      </c>
      <c r="C1989">
        <v>88.74</v>
      </c>
      <c r="D1989">
        <v>85.698080000000004</v>
      </c>
      <c r="E1989" s="1">
        <v>42095</v>
      </c>
      <c r="F1989">
        <f t="shared" si="62"/>
        <v>4</v>
      </c>
      <c r="G1989">
        <f t="shared" si="63"/>
        <v>2015</v>
      </c>
    </row>
    <row r="1990" spans="1:7" x14ac:dyDescent="0.25">
      <c r="A1990" t="s">
        <v>12</v>
      </c>
      <c r="B1990" t="s">
        <v>6</v>
      </c>
      <c r="C1990">
        <v>88.21</v>
      </c>
      <c r="D1990">
        <v>87.527150000000006</v>
      </c>
      <c r="E1990" s="1">
        <v>42125</v>
      </c>
      <c r="F1990">
        <f t="shared" si="62"/>
        <v>5</v>
      </c>
      <c r="G1990">
        <f t="shared" si="63"/>
        <v>2015</v>
      </c>
    </row>
    <row r="1991" spans="1:7" x14ac:dyDescent="0.25">
      <c r="A1991" t="s">
        <v>12</v>
      </c>
      <c r="B1991" t="s">
        <v>6</v>
      </c>
      <c r="C1991">
        <v>87.49</v>
      </c>
      <c r="D1991">
        <v>87.319940000000003</v>
      </c>
      <c r="E1991" s="1">
        <v>42156</v>
      </c>
      <c r="F1991">
        <f t="shared" si="62"/>
        <v>6</v>
      </c>
      <c r="G1991">
        <f t="shared" si="63"/>
        <v>2015</v>
      </c>
    </row>
    <row r="1992" spans="1:7" x14ac:dyDescent="0.25">
      <c r="A1992" t="s">
        <v>12</v>
      </c>
      <c r="B1992" t="s">
        <v>6</v>
      </c>
      <c r="C1992">
        <v>86.03</v>
      </c>
      <c r="D1992">
        <v>86.168750000000003</v>
      </c>
      <c r="E1992" s="1">
        <v>42186</v>
      </c>
      <c r="F1992">
        <f t="shared" si="62"/>
        <v>7</v>
      </c>
      <c r="G1992">
        <f t="shared" si="63"/>
        <v>2015</v>
      </c>
    </row>
    <row r="1993" spans="1:7" x14ac:dyDescent="0.25">
      <c r="A1993" t="s">
        <v>12</v>
      </c>
      <c r="B1993" t="s">
        <v>6</v>
      </c>
      <c r="C1993">
        <v>86.46</v>
      </c>
      <c r="D1993">
        <v>86.481290000000001</v>
      </c>
      <c r="E1993" s="1">
        <v>42217</v>
      </c>
      <c r="F1993">
        <f t="shared" si="62"/>
        <v>8</v>
      </c>
      <c r="G1993">
        <f t="shared" si="63"/>
        <v>2015</v>
      </c>
    </row>
    <row r="1994" spans="1:7" x14ac:dyDescent="0.25">
      <c r="A1994" t="s">
        <v>12</v>
      </c>
      <c r="B1994" t="s">
        <v>6</v>
      </c>
      <c r="C1994">
        <v>85.28</v>
      </c>
      <c r="D1994">
        <v>87.08887</v>
      </c>
      <c r="E1994" s="1">
        <v>42248</v>
      </c>
      <c r="F1994">
        <f t="shared" si="62"/>
        <v>9</v>
      </c>
      <c r="G1994">
        <f t="shared" si="63"/>
        <v>2015</v>
      </c>
    </row>
    <row r="1995" spans="1:7" x14ac:dyDescent="0.25">
      <c r="A1995" t="s">
        <v>12</v>
      </c>
      <c r="B1995" t="s">
        <v>6</v>
      </c>
      <c r="C1995">
        <v>85.77</v>
      </c>
      <c r="D1995">
        <v>88.001140000000007</v>
      </c>
      <c r="E1995" s="1">
        <v>42278</v>
      </c>
      <c r="F1995">
        <f t="shared" si="62"/>
        <v>10</v>
      </c>
      <c r="G1995">
        <f t="shared" si="63"/>
        <v>2015</v>
      </c>
    </row>
    <row r="1996" spans="1:7" x14ac:dyDescent="0.25">
      <c r="A1996" t="s">
        <v>12</v>
      </c>
      <c r="B1996" t="s">
        <v>6</v>
      </c>
      <c r="C1996">
        <v>84.78</v>
      </c>
      <c r="D1996">
        <v>86.356099999999998</v>
      </c>
      <c r="E1996" s="1">
        <v>42309</v>
      </c>
      <c r="F1996">
        <f t="shared" si="62"/>
        <v>11</v>
      </c>
      <c r="G1996">
        <f t="shared" si="63"/>
        <v>2015</v>
      </c>
    </row>
    <row r="1997" spans="1:7" x14ac:dyDescent="0.25">
      <c r="A1997" t="s">
        <v>12</v>
      </c>
      <c r="B1997" t="s">
        <v>6</v>
      </c>
      <c r="C1997">
        <v>84.05</v>
      </c>
      <c r="D1997">
        <v>93.736109999999996</v>
      </c>
      <c r="E1997" s="1">
        <v>42339</v>
      </c>
      <c r="F1997">
        <f t="shared" si="62"/>
        <v>12</v>
      </c>
      <c r="G1997">
        <f t="shared" si="63"/>
        <v>2015</v>
      </c>
    </row>
    <row r="1998" spans="1:7" x14ac:dyDescent="0.25">
      <c r="A1998" t="s">
        <v>12</v>
      </c>
      <c r="B1998" t="s">
        <v>6</v>
      </c>
      <c r="C1998">
        <v>85.07</v>
      </c>
      <c r="D1998">
        <v>80.675150000000002</v>
      </c>
      <c r="E1998" s="1">
        <v>42370</v>
      </c>
      <c r="F1998">
        <f t="shared" si="62"/>
        <v>1</v>
      </c>
      <c r="G1998">
        <f t="shared" si="63"/>
        <v>2016</v>
      </c>
    </row>
    <row r="1999" spans="1:7" x14ac:dyDescent="0.25">
      <c r="A1999" t="s">
        <v>12</v>
      </c>
      <c r="B1999" t="s">
        <v>6</v>
      </c>
      <c r="C1999">
        <v>83.26</v>
      </c>
      <c r="D1999">
        <v>77.604079999999996</v>
      </c>
      <c r="E1999" s="1">
        <v>42401</v>
      </c>
      <c r="F1999">
        <f t="shared" si="62"/>
        <v>2</v>
      </c>
      <c r="G1999">
        <f t="shared" si="63"/>
        <v>2016</v>
      </c>
    </row>
    <row r="2000" spans="1:7" x14ac:dyDescent="0.25">
      <c r="A2000" t="s">
        <v>12</v>
      </c>
      <c r="B2000" t="s">
        <v>6</v>
      </c>
      <c r="C2000">
        <v>85.66</v>
      </c>
      <c r="D2000">
        <v>85.364360000000005</v>
      </c>
      <c r="E2000" s="1">
        <v>42430</v>
      </c>
      <c r="F2000">
        <f t="shared" si="62"/>
        <v>3</v>
      </c>
      <c r="G2000">
        <f t="shared" si="63"/>
        <v>2016</v>
      </c>
    </row>
    <row r="2001" spans="1:7" x14ac:dyDescent="0.25">
      <c r="A2001" t="s">
        <v>12</v>
      </c>
      <c r="B2001" t="s">
        <v>6</v>
      </c>
      <c r="C2001">
        <v>84.28</v>
      </c>
      <c r="D2001">
        <v>82.005369999999999</v>
      </c>
      <c r="E2001" s="1">
        <v>42461</v>
      </c>
      <c r="F2001">
        <f t="shared" si="62"/>
        <v>4</v>
      </c>
      <c r="G2001">
        <f t="shared" si="63"/>
        <v>2016</v>
      </c>
    </row>
    <row r="2002" spans="1:7" x14ac:dyDescent="0.25">
      <c r="A2002" t="s">
        <v>12</v>
      </c>
      <c r="B2002" t="s">
        <v>6</v>
      </c>
      <c r="C2002">
        <v>83.93</v>
      </c>
      <c r="D2002">
        <v>82.176609999999997</v>
      </c>
      <c r="E2002" s="1">
        <v>42491</v>
      </c>
      <c r="F2002">
        <f t="shared" si="62"/>
        <v>5</v>
      </c>
      <c r="G2002">
        <f t="shared" si="63"/>
        <v>2016</v>
      </c>
    </row>
    <row r="2003" spans="1:7" x14ac:dyDescent="0.25">
      <c r="A2003" t="s">
        <v>12</v>
      </c>
      <c r="B2003" t="s">
        <v>6</v>
      </c>
      <c r="C2003">
        <v>83.48</v>
      </c>
      <c r="D2003">
        <v>84.886889999999994</v>
      </c>
      <c r="E2003" s="1">
        <v>42522</v>
      </c>
      <c r="F2003">
        <f t="shared" si="62"/>
        <v>6</v>
      </c>
      <c r="G2003">
        <f t="shared" si="63"/>
        <v>2016</v>
      </c>
    </row>
    <row r="2004" spans="1:7" x14ac:dyDescent="0.25">
      <c r="A2004" t="s">
        <v>12</v>
      </c>
      <c r="B2004" t="s">
        <v>6</v>
      </c>
      <c r="C2004">
        <v>85.27</v>
      </c>
      <c r="D2004">
        <v>84.246610000000004</v>
      </c>
      <c r="E2004" s="1">
        <v>42552</v>
      </c>
      <c r="F2004">
        <f t="shared" si="62"/>
        <v>7</v>
      </c>
      <c r="G2004">
        <f t="shared" si="63"/>
        <v>2016</v>
      </c>
    </row>
    <row r="2005" spans="1:7" x14ac:dyDescent="0.25">
      <c r="A2005" t="s">
        <v>12</v>
      </c>
      <c r="B2005" t="s">
        <v>6</v>
      </c>
      <c r="C2005">
        <v>83.92</v>
      </c>
      <c r="D2005">
        <v>85.326409999999996</v>
      </c>
      <c r="E2005" s="1">
        <v>42583</v>
      </c>
      <c r="F2005">
        <f t="shared" si="62"/>
        <v>8</v>
      </c>
      <c r="G2005">
        <f t="shared" si="63"/>
        <v>2016</v>
      </c>
    </row>
    <row r="2006" spans="1:7" x14ac:dyDescent="0.25">
      <c r="A2006" t="s">
        <v>12</v>
      </c>
      <c r="B2006" t="s">
        <v>6</v>
      </c>
      <c r="C2006">
        <v>84.34</v>
      </c>
      <c r="D2006">
        <v>86.069230000000005</v>
      </c>
      <c r="E2006" s="1">
        <v>42614</v>
      </c>
      <c r="F2006">
        <f t="shared" si="62"/>
        <v>9</v>
      </c>
      <c r="G2006">
        <f t="shared" si="63"/>
        <v>2016</v>
      </c>
    </row>
    <row r="2007" spans="1:7" x14ac:dyDescent="0.25">
      <c r="A2007" t="s">
        <v>12</v>
      </c>
      <c r="B2007" t="s">
        <v>6</v>
      </c>
      <c r="C2007">
        <v>83.13</v>
      </c>
      <c r="D2007">
        <v>84.263149999999996</v>
      </c>
      <c r="E2007" s="1">
        <v>42644</v>
      </c>
      <c r="F2007">
        <f t="shared" si="62"/>
        <v>10</v>
      </c>
      <c r="G2007">
        <f t="shared" si="63"/>
        <v>2016</v>
      </c>
    </row>
    <row r="2008" spans="1:7" x14ac:dyDescent="0.25">
      <c r="A2008" t="s">
        <v>12</v>
      </c>
      <c r="B2008" t="s">
        <v>6</v>
      </c>
      <c r="C2008">
        <v>82.23</v>
      </c>
      <c r="D2008">
        <v>84.931359999999998</v>
      </c>
      <c r="E2008" s="1">
        <v>42675</v>
      </c>
      <c r="F2008">
        <f t="shared" si="62"/>
        <v>11</v>
      </c>
      <c r="G2008">
        <f t="shared" si="63"/>
        <v>2016</v>
      </c>
    </row>
    <row r="2009" spans="1:7" x14ac:dyDescent="0.25">
      <c r="A2009" t="s">
        <v>12</v>
      </c>
      <c r="B2009" t="s">
        <v>6</v>
      </c>
      <c r="C2009">
        <v>82.46</v>
      </c>
      <c r="D2009">
        <v>91.383390000000006</v>
      </c>
      <c r="E2009" s="1">
        <v>42705</v>
      </c>
      <c r="F2009">
        <f t="shared" si="62"/>
        <v>12</v>
      </c>
      <c r="G2009">
        <f t="shared" si="63"/>
        <v>2016</v>
      </c>
    </row>
    <row r="2010" spans="1:7" x14ac:dyDescent="0.25">
      <c r="A2010" t="s">
        <v>12</v>
      </c>
      <c r="B2010" t="s">
        <v>6</v>
      </c>
      <c r="C2010">
        <v>83.32</v>
      </c>
      <c r="D2010">
        <v>79.35566</v>
      </c>
      <c r="E2010" s="1">
        <v>42736</v>
      </c>
      <c r="F2010">
        <f t="shared" si="62"/>
        <v>1</v>
      </c>
      <c r="G2010">
        <f t="shared" si="63"/>
        <v>2017</v>
      </c>
    </row>
    <row r="2011" spans="1:7" x14ac:dyDescent="0.25">
      <c r="A2011" t="s">
        <v>12</v>
      </c>
      <c r="B2011" t="s">
        <v>6</v>
      </c>
      <c r="C2011">
        <v>84.31</v>
      </c>
      <c r="D2011">
        <v>75.919539999999998</v>
      </c>
      <c r="E2011" s="1">
        <v>42767</v>
      </c>
      <c r="F2011">
        <f t="shared" si="62"/>
        <v>2</v>
      </c>
      <c r="G2011">
        <f t="shared" si="63"/>
        <v>2017</v>
      </c>
    </row>
    <row r="2012" spans="1:7" x14ac:dyDescent="0.25">
      <c r="A2012" t="s">
        <v>12</v>
      </c>
      <c r="B2012" t="s">
        <v>6</v>
      </c>
      <c r="C2012">
        <v>81.45</v>
      </c>
      <c r="D2012">
        <v>82.267920000000004</v>
      </c>
      <c r="E2012" s="1">
        <v>42795</v>
      </c>
      <c r="F2012">
        <f t="shared" si="62"/>
        <v>3</v>
      </c>
      <c r="G2012">
        <f t="shared" si="63"/>
        <v>2017</v>
      </c>
    </row>
    <row r="2013" spans="1:7" x14ac:dyDescent="0.25">
      <c r="A2013" t="s">
        <v>12</v>
      </c>
      <c r="B2013" t="s">
        <v>6</v>
      </c>
      <c r="C2013">
        <v>83.68</v>
      </c>
      <c r="D2013">
        <v>79.391509999999997</v>
      </c>
      <c r="E2013" s="1">
        <v>42826</v>
      </c>
      <c r="F2013">
        <f t="shared" si="62"/>
        <v>4</v>
      </c>
      <c r="G2013">
        <f t="shared" si="63"/>
        <v>2017</v>
      </c>
    </row>
    <row r="2014" spans="1:7" x14ac:dyDescent="0.25">
      <c r="A2014" t="s">
        <v>12</v>
      </c>
      <c r="B2014" t="s">
        <v>6</v>
      </c>
      <c r="C2014">
        <v>83.54</v>
      </c>
      <c r="D2014">
        <v>83.713740000000001</v>
      </c>
      <c r="E2014" s="1">
        <v>42856</v>
      </c>
      <c r="F2014">
        <f t="shared" si="62"/>
        <v>5</v>
      </c>
      <c r="G2014">
        <f t="shared" si="63"/>
        <v>2017</v>
      </c>
    </row>
    <row r="2015" spans="1:7" x14ac:dyDescent="0.25">
      <c r="A2015" t="s">
        <v>12</v>
      </c>
      <c r="B2015" t="s">
        <v>6</v>
      </c>
      <c r="C2015">
        <v>85.21</v>
      </c>
      <c r="D2015">
        <v>85.548609999999996</v>
      </c>
      <c r="E2015" s="1">
        <v>42887</v>
      </c>
      <c r="F2015">
        <f t="shared" si="62"/>
        <v>6</v>
      </c>
      <c r="G2015">
        <f t="shared" si="63"/>
        <v>2017</v>
      </c>
    </row>
    <row r="2016" spans="1:7" x14ac:dyDescent="0.25">
      <c r="A2016" t="s">
        <v>12</v>
      </c>
      <c r="B2016" t="s">
        <v>6</v>
      </c>
      <c r="C2016">
        <v>85.67</v>
      </c>
      <c r="D2016">
        <v>84.133290000000002</v>
      </c>
      <c r="E2016" s="1">
        <v>42917</v>
      </c>
      <c r="F2016">
        <f t="shared" si="62"/>
        <v>7</v>
      </c>
      <c r="G2016">
        <f t="shared" si="63"/>
        <v>2017</v>
      </c>
    </row>
    <row r="2017" spans="1:7" x14ac:dyDescent="0.25">
      <c r="A2017" t="s">
        <v>12</v>
      </c>
      <c r="B2017" t="s">
        <v>6</v>
      </c>
      <c r="C2017">
        <v>84.17</v>
      </c>
      <c r="D2017">
        <v>85.763649999999998</v>
      </c>
      <c r="E2017" s="1">
        <v>42948</v>
      </c>
      <c r="F2017">
        <f t="shared" si="62"/>
        <v>8</v>
      </c>
      <c r="G2017">
        <f t="shared" si="63"/>
        <v>2017</v>
      </c>
    </row>
    <row r="2018" spans="1:7" x14ac:dyDescent="0.25">
      <c r="A2018" t="s">
        <v>12</v>
      </c>
      <c r="B2018" t="s">
        <v>6</v>
      </c>
      <c r="C2018">
        <v>83.01</v>
      </c>
      <c r="D2018">
        <v>84.077839999999995</v>
      </c>
      <c r="E2018" s="1">
        <v>42979</v>
      </c>
      <c r="F2018">
        <f t="shared" si="62"/>
        <v>9</v>
      </c>
      <c r="G2018">
        <f t="shared" si="63"/>
        <v>2017</v>
      </c>
    </row>
    <row r="2019" spans="1:7" x14ac:dyDescent="0.25">
      <c r="A2019" t="s">
        <v>12</v>
      </c>
      <c r="B2019" t="s">
        <v>6</v>
      </c>
      <c r="C2019">
        <v>83.06</v>
      </c>
      <c r="D2019">
        <v>85.088509999999999</v>
      </c>
      <c r="E2019" s="1">
        <v>43009</v>
      </c>
      <c r="F2019">
        <f t="shared" si="62"/>
        <v>10</v>
      </c>
      <c r="G2019">
        <f t="shared" si="63"/>
        <v>2017</v>
      </c>
    </row>
    <row r="2020" spans="1:7" x14ac:dyDescent="0.25">
      <c r="A2020" t="s">
        <v>12</v>
      </c>
      <c r="B2020" t="s">
        <v>6</v>
      </c>
      <c r="C2020">
        <v>83.18</v>
      </c>
      <c r="D2020">
        <v>85.698700000000002</v>
      </c>
      <c r="E2020" s="1">
        <v>43040</v>
      </c>
      <c r="F2020">
        <f t="shared" si="62"/>
        <v>11</v>
      </c>
      <c r="G2020">
        <f t="shared" si="63"/>
        <v>2017</v>
      </c>
    </row>
    <row r="2021" spans="1:7" x14ac:dyDescent="0.25">
      <c r="A2021" t="s">
        <v>12</v>
      </c>
      <c r="B2021" t="s">
        <v>6</v>
      </c>
      <c r="C2021">
        <v>84.37</v>
      </c>
      <c r="D2021">
        <v>93.091949999999997</v>
      </c>
      <c r="E2021" s="1">
        <v>43070</v>
      </c>
      <c r="F2021">
        <f t="shared" si="62"/>
        <v>12</v>
      </c>
      <c r="G2021">
        <f t="shared" si="63"/>
        <v>2017</v>
      </c>
    </row>
    <row r="2022" spans="1:7" x14ac:dyDescent="0.25">
      <c r="A2022" t="s">
        <v>12</v>
      </c>
      <c r="B2022" t="s">
        <v>6</v>
      </c>
      <c r="C2022">
        <v>83.26</v>
      </c>
      <c r="D2022">
        <v>79.841620000000006</v>
      </c>
      <c r="E2022" s="1">
        <v>43101</v>
      </c>
      <c r="F2022">
        <f t="shared" si="62"/>
        <v>1</v>
      </c>
      <c r="G2022">
        <f t="shared" si="63"/>
        <v>2018</v>
      </c>
    </row>
    <row r="2023" spans="1:7" x14ac:dyDescent="0.25">
      <c r="A2023" t="s">
        <v>12</v>
      </c>
      <c r="B2023" t="s">
        <v>6</v>
      </c>
      <c r="C2023">
        <v>83.57</v>
      </c>
      <c r="D2023">
        <v>75.20975</v>
      </c>
      <c r="E2023" s="1">
        <v>43132</v>
      </c>
      <c r="F2023">
        <f t="shared" si="62"/>
        <v>2</v>
      </c>
      <c r="G2023">
        <f t="shared" si="63"/>
        <v>2018</v>
      </c>
    </row>
    <row r="2024" spans="1:7" x14ac:dyDescent="0.25">
      <c r="A2024" t="s">
        <v>12</v>
      </c>
      <c r="B2024" t="s">
        <v>6</v>
      </c>
      <c r="C2024">
        <v>84.46</v>
      </c>
      <c r="D2024">
        <v>83.448049999999995</v>
      </c>
      <c r="E2024" s="1">
        <v>43160</v>
      </c>
      <c r="F2024">
        <f t="shared" si="62"/>
        <v>3</v>
      </c>
      <c r="G2024">
        <f t="shared" si="63"/>
        <v>2018</v>
      </c>
    </row>
    <row r="2025" spans="1:7" x14ac:dyDescent="0.25">
      <c r="A2025" t="s">
        <v>12</v>
      </c>
      <c r="B2025" t="s">
        <v>6</v>
      </c>
      <c r="C2025">
        <v>85.15</v>
      </c>
      <c r="D2025">
        <v>82.096190000000007</v>
      </c>
      <c r="E2025" s="1">
        <v>43191</v>
      </c>
      <c r="F2025">
        <f t="shared" si="62"/>
        <v>4</v>
      </c>
      <c r="G2025">
        <f t="shared" si="63"/>
        <v>2018</v>
      </c>
    </row>
    <row r="2026" spans="1:7" x14ac:dyDescent="0.25">
      <c r="A2026" t="s">
        <v>12</v>
      </c>
      <c r="B2026" t="s">
        <v>6</v>
      </c>
      <c r="C2026">
        <v>81.84</v>
      </c>
      <c r="D2026">
        <v>82.117360000000005</v>
      </c>
      <c r="E2026" s="1">
        <v>43221</v>
      </c>
      <c r="F2026">
        <f t="shared" si="62"/>
        <v>5</v>
      </c>
      <c r="G2026">
        <f t="shared" si="63"/>
        <v>2018</v>
      </c>
    </row>
    <row r="2027" spans="1:7" x14ac:dyDescent="0.25">
      <c r="A2027" t="s">
        <v>12</v>
      </c>
      <c r="B2027" t="s">
        <v>6</v>
      </c>
      <c r="C2027">
        <v>87.36</v>
      </c>
      <c r="D2027">
        <v>87.174819999999997</v>
      </c>
      <c r="E2027" s="1">
        <v>43252</v>
      </c>
      <c r="F2027">
        <f t="shared" si="62"/>
        <v>6</v>
      </c>
      <c r="G2027">
        <f t="shared" si="63"/>
        <v>2018</v>
      </c>
    </row>
    <row r="2028" spans="1:7" x14ac:dyDescent="0.25">
      <c r="A2028" t="s">
        <v>12</v>
      </c>
      <c r="B2028" t="s">
        <v>6</v>
      </c>
      <c r="C2028">
        <v>85.82</v>
      </c>
      <c r="D2028">
        <v>85.311059999999998</v>
      </c>
      <c r="E2028" s="1">
        <v>43282</v>
      </c>
      <c r="F2028">
        <f t="shared" si="62"/>
        <v>7</v>
      </c>
      <c r="G2028">
        <f t="shared" si="63"/>
        <v>2018</v>
      </c>
    </row>
    <row r="2029" spans="1:7" x14ac:dyDescent="0.25">
      <c r="A2029" t="s">
        <v>12</v>
      </c>
      <c r="B2029" t="s">
        <v>6</v>
      </c>
      <c r="C2029">
        <v>86.7</v>
      </c>
      <c r="D2029">
        <v>88.508920000000003</v>
      </c>
      <c r="E2029" s="1">
        <v>43313</v>
      </c>
      <c r="F2029">
        <f t="shared" si="62"/>
        <v>8</v>
      </c>
      <c r="G2029">
        <f t="shared" si="63"/>
        <v>2018</v>
      </c>
    </row>
    <row r="2030" spans="1:7" x14ac:dyDescent="0.25">
      <c r="A2030" t="s">
        <v>12</v>
      </c>
      <c r="B2030" t="s">
        <v>6</v>
      </c>
      <c r="C2030">
        <v>87.03</v>
      </c>
      <c r="D2030">
        <v>87.130179999999996</v>
      </c>
      <c r="E2030" s="1">
        <v>43344</v>
      </c>
      <c r="F2030">
        <f t="shared" si="62"/>
        <v>9</v>
      </c>
      <c r="G2030">
        <f t="shared" si="63"/>
        <v>2018</v>
      </c>
    </row>
    <row r="2031" spans="1:7" x14ac:dyDescent="0.25">
      <c r="A2031" t="s">
        <v>12</v>
      </c>
      <c r="B2031" t="s">
        <v>6</v>
      </c>
      <c r="C2031">
        <v>86.17</v>
      </c>
      <c r="D2031">
        <v>88.820430000000002</v>
      </c>
      <c r="E2031" s="1">
        <v>43374</v>
      </c>
      <c r="F2031">
        <f t="shared" si="62"/>
        <v>10</v>
      </c>
      <c r="G2031">
        <f t="shared" si="63"/>
        <v>2018</v>
      </c>
    </row>
    <row r="2032" spans="1:7" x14ac:dyDescent="0.25">
      <c r="A2032" t="s">
        <v>12</v>
      </c>
      <c r="B2032" t="s">
        <v>6</v>
      </c>
      <c r="C2032">
        <v>86.95</v>
      </c>
      <c r="D2032">
        <v>89.925269999999998</v>
      </c>
      <c r="E2032" s="1">
        <v>43405</v>
      </c>
      <c r="F2032">
        <f t="shared" si="62"/>
        <v>11</v>
      </c>
      <c r="G2032">
        <f t="shared" si="63"/>
        <v>2018</v>
      </c>
    </row>
    <row r="2033" spans="1:7" x14ac:dyDescent="0.25">
      <c r="A2033" t="s">
        <v>12</v>
      </c>
      <c r="B2033" t="s">
        <v>6</v>
      </c>
      <c r="C2033">
        <v>87.66</v>
      </c>
      <c r="D2033">
        <v>96.220100000000002</v>
      </c>
      <c r="E2033" s="1">
        <v>43435</v>
      </c>
      <c r="F2033">
        <f t="shared" si="62"/>
        <v>12</v>
      </c>
      <c r="G2033">
        <f t="shared" si="63"/>
        <v>2018</v>
      </c>
    </row>
    <row r="2034" spans="1:7" x14ac:dyDescent="0.25">
      <c r="A2034" t="s">
        <v>12</v>
      </c>
      <c r="B2034" t="s">
        <v>6</v>
      </c>
      <c r="C2034">
        <v>86.82</v>
      </c>
      <c r="D2034">
        <v>83.471100000000007</v>
      </c>
      <c r="E2034" s="1">
        <v>43466</v>
      </c>
      <c r="F2034">
        <f t="shared" si="62"/>
        <v>1</v>
      </c>
      <c r="G2034">
        <f t="shared" si="63"/>
        <v>2019</v>
      </c>
    </row>
    <row r="2035" spans="1:7" x14ac:dyDescent="0.25">
      <c r="A2035" t="s">
        <v>12</v>
      </c>
      <c r="B2035" t="s">
        <v>6</v>
      </c>
      <c r="C2035">
        <v>87.83</v>
      </c>
      <c r="D2035">
        <v>81.373580000000004</v>
      </c>
      <c r="E2035" s="1">
        <v>43497</v>
      </c>
      <c r="F2035">
        <f t="shared" si="62"/>
        <v>2</v>
      </c>
      <c r="G2035">
        <f t="shared" si="63"/>
        <v>2019</v>
      </c>
    </row>
    <row r="2036" spans="1:7" x14ac:dyDescent="0.25">
      <c r="A2036" t="s">
        <v>12</v>
      </c>
      <c r="B2036" t="s">
        <v>6</v>
      </c>
      <c r="C2036">
        <v>87.52</v>
      </c>
      <c r="D2036">
        <v>84.604929999999996</v>
      </c>
      <c r="E2036" s="1">
        <v>43525</v>
      </c>
      <c r="F2036">
        <f t="shared" si="62"/>
        <v>3</v>
      </c>
      <c r="G2036">
        <f t="shared" si="63"/>
        <v>2019</v>
      </c>
    </row>
    <row r="2037" spans="1:7" x14ac:dyDescent="0.25">
      <c r="A2037" t="s">
        <v>12</v>
      </c>
      <c r="B2037" t="s">
        <v>6</v>
      </c>
      <c r="C2037">
        <v>87.59</v>
      </c>
      <c r="D2037">
        <v>83.978350000000006</v>
      </c>
      <c r="E2037" s="1">
        <v>43556</v>
      </c>
      <c r="F2037">
        <f t="shared" si="62"/>
        <v>4</v>
      </c>
      <c r="G2037">
        <f t="shared" si="63"/>
        <v>2019</v>
      </c>
    </row>
    <row r="2038" spans="1:7" x14ac:dyDescent="0.25">
      <c r="A2038" t="s">
        <v>12</v>
      </c>
      <c r="B2038" t="s">
        <v>6</v>
      </c>
      <c r="C2038">
        <v>88.72</v>
      </c>
      <c r="D2038">
        <v>88.950339999999997</v>
      </c>
      <c r="E2038" s="1">
        <v>43586</v>
      </c>
      <c r="F2038">
        <f t="shared" si="62"/>
        <v>5</v>
      </c>
      <c r="G2038">
        <f t="shared" si="63"/>
        <v>2019</v>
      </c>
    </row>
    <row r="2039" spans="1:7" x14ac:dyDescent="0.25">
      <c r="A2039" t="s">
        <v>12</v>
      </c>
      <c r="B2039" t="s">
        <v>6</v>
      </c>
      <c r="C2039">
        <v>86.97</v>
      </c>
      <c r="D2039">
        <v>85.978819999999999</v>
      </c>
      <c r="E2039" s="1">
        <v>43617</v>
      </c>
      <c r="F2039">
        <f t="shared" si="62"/>
        <v>6</v>
      </c>
      <c r="G2039">
        <f t="shared" si="63"/>
        <v>2019</v>
      </c>
    </row>
    <row r="2040" spans="1:7" x14ac:dyDescent="0.25">
      <c r="A2040" t="s">
        <v>12</v>
      </c>
      <c r="B2040" t="s">
        <v>6</v>
      </c>
      <c r="C2040">
        <v>88.02</v>
      </c>
      <c r="D2040">
        <v>88.264930000000007</v>
      </c>
      <c r="E2040" s="1">
        <v>43647</v>
      </c>
      <c r="F2040">
        <f t="shared" si="62"/>
        <v>7</v>
      </c>
      <c r="G2040">
        <f t="shared" si="63"/>
        <v>2019</v>
      </c>
    </row>
    <row r="2041" spans="1:7" x14ac:dyDescent="0.25">
      <c r="A2041" t="s">
        <v>12</v>
      </c>
      <c r="B2041" t="s">
        <v>6</v>
      </c>
      <c r="C2041">
        <v>87.37</v>
      </c>
      <c r="D2041">
        <v>88.490539999999996</v>
      </c>
      <c r="E2041" s="1">
        <v>43678</v>
      </c>
      <c r="F2041">
        <f t="shared" si="62"/>
        <v>8</v>
      </c>
      <c r="G2041">
        <f t="shared" si="63"/>
        <v>2019</v>
      </c>
    </row>
    <row r="2042" spans="1:7" x14ac:dyDescent="0.25">
      <c r="A2042" t="s">
        <v>12</v>
      </c>
      <c r="B2042" t="s">
        <v>6</v>
      </c>
      <c r="C2042">
        <v>89.81</v>
      </c>
      <c r="D2042">
        <v>90.254490000000004</v>
      </c>
      <c r="E2042" s="1">
        <v>43709</v>
      </c>
      <c r="F2042">
        <f t="shared" si="62"/>
        <v>9</v>
      </c>
      <c r="G2042">
        <f t="shared" si="63"/>
        <v>2019</v>
      </c>
    </row>
    <row r="2043" spans="1:7" x14ac:dyDescent="0.25">
      <c r="A2043" t="s">
        <v>12</v>
      </c>
      <c r="B2043" t="s">
        <v>6</v>
      </c>
      <c r="C2043">
        <v>89.51</v>
      </c>
      <c r="D2043">
        <v>92.383319999999998</v>
      </c>
      <c r="E2043" s="1">
        <v>43739</v>
      </c>
      <c r="F2043">
        <f t="shared" si="62"/>
        <v>10</v>
      </c>
      <c r="G2043">
        <f t="shared" si="63"/>
        <v>2019</v>
      </c>
    </row>
    <row r="2044" spans="1:7" x14ac:dyDescent="0.25">
      <c r="A2044" t="s">
        <v>12</v>
      </c>
      <c r="B2044" t="s">
        <v>6</v>
      </c>
      <c r="C2044">
        <v>89.19</v>
      </c>
      <c r="D2044">
        <v>91.607699999999994</v>
      </c>
      <c r="E2044" s="1">
        <v>43770</v>
      </c>
      <c r="F2044">
        <f t="shared" si="62"/>
        <v>11</v>
      </c>
      <c r="G2044">
        <f t="shared" si="63"/>
        <v>2019</v>
      </c>
    </row>
    <row r="2045" spans="1:7" x14ac:dyDescent="0.25">
      <c r="A2045" t="s">
        <v>12</v>
      </c>
      <c r="B2045" t="s">
        <v>6</v>
      </c>
      <c r="C2045">
        <v>89.74</v>
      </c>
      <c r="D2045">
        <v>99.721400000000003</v>
      </c>
      <c r="E2045" s="1">
        <v>43800</v>
      </c>
      <c r="F2045">
        <f t="shared" si="62"/>
        <v>12</v>
      </c>
      <c r="G2045">
        <f t="shared" si="63"/>
        <v>2019</v>
      </c>
    </row>
    <row r="2046" spans="1:7" x14ac:dyDescent="0.25">
      <c r="A2046" t="s">
        <v>12</v>
      </c>
      <c r="B2046" t="s">
        <v>6</v>
      </c>
      <c r="C2046">
        <v>89.61</v>
      </c>
      <c r="D2046">
        <v>86.204530000000005</v>
      </c>
      <c r="E2046" s="1">
        <v>43831</v>
      </c>
      <c r="F2046">
        <f t="shared" si="62"/>
        <v>1</v>
      </c>
      <c r="G2046">
        <f t="shared" si="63"/>
        <v>2020</v>
      </c>
    </row>
    <row r="2047" spans="1:7" x14ac:dyDescent="0.25">
      <c r="A2047" t="s">
        <v>12</v>
      </c>
      <c r="B2047" t="s">
        <v>6</v>
      </c>
      <c r="C2047">
        <v>88.61</v>
      </c>
      <c r="D2047">
        <v>82.024029999999996</v>
      </c>
      <c r="E2047" s="1">
        <v>43862</v>
      </c>
      <c r="F2047">
        <f t="shared" si="62"/>
        <v>2</v>
      </c>
      <c r="G2047">
        <f t="shared" si="63"/>
        <v>2020</v>
      </c>
    </row>
    <row r="2048" spans="1:7" x14ac:dyDescent="0.25">
      <c r="A2048" t="s">
        <v>12</v>
      </c>
      <c r="B2048" t="s">
        <v>6</v>
      </c>
      <c r="C2048">
        <v>82.98</v>
      </c>
      <c r="D2048">
        <v>82.970359999999999</v>
      </c>
      <c r="E2048" s="1">
        <v>43891</v>
      </c>
      <c r="F2048">
        <f t="shared" si="62"/>
        <v>3</v>
      </c>
      <c r="G2048">
        <f t="shared" si="63"/>
        <v>2020</v>
      </c>
    </row>
    <row r="2049" spans="1:7" x14ac:dyDescent="0.25">
      <c r="A2049" t="s">
        <v>12</v>
      </c>
      <c r="B2049" t="s">
        <v>6</v>
      </c>
      <c r="C2049">
        <v>73.53</v>
      </c>
      <c r="D2049">
        <v>70.436139999999995</v>
      </c>
      <c r="E2049" s="1">
        <v>43922</v>
      </c>
      <c r="F2049">
        <f t="shared" si="62"/>
        <v>4</v>
      </c>
      <c r="G2049">
        <f t="shared" si="63"/>
        <v>2020</v>
      </c>
    </row>
    <row r="2050" spans="1:7" x14ac:dyDescent="0.25">
      <c r="A2050" t="s">
        <v>12</v>
      </c>
      <c r="B2050" t="s">
        <v>6</v>
      </c>
      <c r="C2050">
        <v>72.02</v>
      </c>
      <c r="D2050">
        <v>71.076599999999999</v>
      </c>
      <c r="E2050" s="1">
        <v>43952</v>
      </c>
      <c r="F2050">
        <f t="shared" ref="F2050:F2113" si="64">MONTH(E2050)</f>
        <v>5</v>
      </c>
      <c r="G2050">
        <f t="shared" ref="G2050:G2113" si="65">YEAR(E2050)</f>
        <v>2020</v>
      </c>
    </row>
    <row r="2051" spans="1:7" x14ac:dyDescent="0.25">
      <c r="A2051" t="s">
        <v>12</v>
      </c>
      <c r="B2051" t="s">
        <v>6</v>
      </c>
      <c r="C2051">
        <v>76.2</v>
      </c>
      <c r="D2051">
        <v>76.446950000000001</v>
      </c>
      <c r="E2051" s="1">
        <v>43983</v>
      </c>
      <c r="F2051">
        <f t="shared" si="64"/>
        <v>6</v>
      </c>
      <c r="G2051">
        <f t="shared" si="65"/>
        <v>2020</v>
      </c>
    </row>
    <row r="2052" spans="1:7" x14ac:dyDescent="0.25">
      <c r="A2052" t="s">
        <v>12</v>
      </c>
      <c r="B2052" t="s">
        <v>6</v>
      </c>
      <c r="C2052">
        <v>78.14</v>
      </c>
      <c r="D2052">
        <v>78.72475</v>
      </c>
      <c r="E2052" s="1">
        <v>44013</v>
      </c>
      <c r="F2052">
        <f t="shared" si="64"/>
        <v>7</v>
      </c>
      <c r="G2052">
        <f t="shared" si="65"/>
        <v>2020</v>
      </c>
    </row>
    <row r="2053" spans="1:7" x14ac:dyDescent="0.25">
      <c r="A2053" t="s">
        <v>12</v>
      </c>
      <c r="B2053" t="s">
        <v>6</v>
      </c>
      <c r="C2053">
        <v>79.84</v>
      </c>
      <c r="D2053">
        <v>79.874709999999993</v>
      </c>
      <c r="E2053" s="1">
        <v>44044</v>
      </c>
      <c r="F2053">
        <f t="shared" si="64"/>
        <v>8</v>
      </c>
      <c r="G2053">
        <f t="shared" si="65"/>
        <v>2020</v>
      </c>
    </row>
    <row r="2054" spans="1:7" x14ac:dyDescent="0.25">
      <c r="A2054" t="s">
        <v>12</v>
      </c>
      <c r="B2054" t="s">
        <v>6</v>
      </c>
      <c r="C2054">
        <v>82.49</v>
      </c>
      <c r="D2054">
        <v>83.818449999999999</v>
      </c>
      <c r="E2054" s="1">
        <v>44075</v>
      </c>
      <c r="F2054">
        <f t="shared" si="64"/>
        <v>9</v>
      </c>
      <c r="G2054">
        <f t="shared" si="65"/>
        <v>2020</v>
      </c>
    </row>
    <row r="2055" spans="1:7" x14ac:dyDescent="0.25">
      <c r="A2055" t="s">
        <v>12</v>
      </c>
      <c r="B2055" t="s">
        <v>6</v>
      </c>
      <c r="C2055">
        <v>83.49</v>
      </c>
      <c r="D2055">
        <v>85.429000000000002</v>
      </c>
      <c r="E2055" s="1">
        <v>44105</v>
      </c>
      <c r="F2055">
        <f t="shared" si="64"/>
        <v>10</v>
      </c>
      <c r="G2055">
        <f t="shared" si="65"/>
        <v>2020</v>
      </c>
    </row>
    <row r="2056" spans="1:7" x14ac:dyDescent="0.25">
      <c r="A2056" t="s">
        <v>12</v>
      </c>
      <c r="B2056" t="s">
        <v>6</v>
      </c>
      <c r="C2056">
        <v>85.55</v>
      </c>
      <c r="D2056">
        <v>87.512230000000002</v>
      </c>
      <c r="E2056" s="1">
        <v>44136</v>
      </c>
      <c r="F2056">
        <f t="shared" si="64"/>
        <v>11</v>
      </c>
      <c r="G2056">
        <f t="shared" si="65"/>
        <v>2020</v>
      </c>
    </row>
    <row r="2057" spans="1:7" x14ac:dyDescent="0.25">
      <c r="A2057" t="s">
        <v>12</v>
      </c>
      <c r="B2057" t="s">
        <v>6</v>
      </c>
      <c r="C2057">
        <v>85.65</v>
      </c>
      <c r="D2057">
        <v>96.230909999999994</v>
      </c>
      <c r="E2057" s="1">
        <v>44166</v>
      </c>
      <c r="F2057">
        <f t="shared" si="64"/>
        <v>12</v>
      </c>
      <c r="G2057">
        <f t="shared" si="65"/>
        <v>2020</v>
      </c>
    </row>
    <row r="2058" spans="1:7" x14ac:dyDescent="0.25">
      <c r="A2058" t="s">
        <v>12</v>
      </c>
      <c r="B2058" t="s">
        <v>6</v>
      </c>
      <c r="C2058">
        <v>86.37</v>
      </c>
      <c r="D2058">
        <v>81.950059999999993</v>
      </c>
      <c r="E2058" s="1">
        <v>44197</v>
      </c>
      <c r="F2058">
        <f t="shared" si="64"/>
        <v>1</v>
      </c>
      <c r="G2058">
        <f t="shared" si="65"/>
        <v>2021</v>
      </c>
    </row>
    <row r="2059" spans="1:7" x14ac:dyDescent="0.25">
      <c r="A2059" t="s">
        <v>12</v>
      </c>
      <c r="B2059" t="s">
        <v>6</v>
      </c>
      <c r="C2059">
        <v>90.51</v>
      </c>
      <c r="D2059">
        <v>81.415049999999994</v>
      </c>
      <c r="E2059" s="1">
        <v>44228</v>
      </c>
      <c r="F2059">
        <f t="shared" si="64"/>
        <v>2</v>
      </c>
      <c r="G2059">
        <f t="shared" si="65"/>
        <v>2021</v>
      </c>
    </row>
    <row r="2060" spans="1:7" x14ac:dyDescent="0.25">
      <c r="A2060" t="s">
        <v>12</v>
      </c>
      <c r="B2060" t="s">
        <v>6</v>
      </c>
      <c r="C2060">
        <v>86.23</v>
      </c>
      <c r="D2060">
        <v>86.829819999999998</v>
      </c>
      <c r="E2060" s="1">
        <v>44256</v>
      </c>
      <c r="F2060">
        <f t="shared" si="64"/>
        <v>3</v>
      </c>
      <c r="G2060">
        <f t="shared" si="65"/>
        <v>2021</v>
      </c>
    </row>
    <row r="2061" spans="1:7" x14ac:dyDescent="0.25">
      <c r="A2061" t="s">
        <v>12</v>
      </c>
      <c r="B2061" t="s">
        <v>6</v>
      </c>
      <c r="C2061">
        <v>88.56</v>
      </c>
      <c r="D2061">
        <v>85.031899999999993</v>
      </c>
      <c r="E2061" s="1">
        <v>44287</v>
      </c>
      <c r="F2061">
        <f t="shared" si="64"/>
        <v>4</v>
      </c>
      <c r="G2061">
        <f t="shared" si="65"/>
        <v>2021</v>
      </c>
    </row>
    <row r="2062" spans="1:7" x14ac:dyDescent="0.25">
      <c r="A2062" t="s">
        <v>12</v>
      </c>
      <c r="B2062" t="s">
        <v>6</v>
      </c>
      <c r="C2062">
        <v>90.52</v>
      </c>
      <c r="D2062">
        <v>88.611320000000006</v>
      </c>
      <c r="E2062" s="1">
        <v>44317</v>
      </c>
      <c r="F2062">
        <f t="shared" si="64"/>
        <v>5</v>
      </c>
      <c r="G2062">
        <f t="shared" si="65"/>
        <v>2021</v>
      </c>
    </row>
    <row r="2063" spans="1:7" x14ac:dyDescent="0.25">
      <c r="A2063" t="s">
        <v>12</v>
      </c>
      <c r="B2063" t="s">
        <v>6</v>
      </c>
      <c r="C2063">
        <v>91.24</v>
      </c>
      <c r="D2063">
        <v>91.852090000000004</v>
      </c>
      <c r="E2063" s="1">
        <v>44348</v>
      </c>
      <c r="F2063">
        <f t="shared" si="64"/>
        <v>6</v>
      </c>
      <c r="G2063">
        <f t="shared" si="65"/>
        <v>2021</v>
      </c>
    </row>
    <row r="2064" spans="1:7" x14ac:dyDescent="0.25">
      <c r="A2064" t="s">
        <v>12</v>
      </c>
      <c r="B2064" t="s">
        <v>6</v>
      </c>
      <c r="C2064">
        <v>92.22</v>
      </c>
      <c r="D2064">
        <v>92.205560000000006</v>
      </c>
      <c r="E2064" s="1">
        <v>44378</v>
      </c>
      <c r="F2064">
        <f t="shared" si="64"/>
        <v>7</v>
      </c>
      <c r="G2064">
        <f t="shared" si="65"/>
        <v>2021</v>
      </c>
    </row>
    <row r="2065" spans="1:7" x14ac:dyDescent="0.25">
      <c r="A2065" t="s">
        <v>12</v>
      </c>
      <c r="B2065" t="s">
        <v>6</v>
      </c>
      <c r="C2065">
        <v>93.06</v>
      </c>
      <c r="D2065">
        <v>94.031210000000002</v>
      </c>
      <c r="E2065" s="1">
        <v>44409</v>
      </c>
      <c r="F2065">
        <f t="shared" si="64"/>
        <v>8</v>
      </c>
      <c r="G2065">
        <f t="shared" si="65"/>
        <v>2021</v>
      </c>
    </row>
    <row r="2066" spans="1:7" x14ac:dyDescent="0.25">
      <c r="A2066" t="s">
        <v>12</v>
      </c>
      <c r="B2066" t="s">
        <v>6</v>
      </c>
      <c r="C2066">
        <v>91.48</v>
      </c>
      <c r="D2066">
        <v>92.560550000000006</v>
      </c>
      <c r="E2066" s="1">
        <v>44440</v>
      </c>
      <c r="F2066">
        <f t="shared" si="64"/>
        <v>9</v>
      </c>
      <c r="G2066">
        <f t="shared" si="65"/>
        <v>2021</v>
      </c>
    </row>
    <row r="2067" spans="1:7" x14ac:dyDescent="0.25">
      <c r="A2067" t="s">
        <v>12</v>
      </c>
      <c r="B2067" t="s">
        <v>6</v>
      </c>
      <c r="C2067">
        <v>90.67</v>
      </c>
      <c r="D2067">
        <v>92.243930000000006</v>
      </c>
      <c r="E2067" s="1">
        <v>44470</v>
      </c>
      <c r="F2067">
        <f t="shared" si="64"/>
        <v>10</v>
      </c>
      <c r="G2067">
        <f t="shared" si="65"/>
        <v>2021</v>
      </c>
    </row>
    <row r="2068" spans="1:7" x14ac:dyDescent="0.25">
      <c r="A2068" t="s">
        <v>12</v>
      </c>
      <c r="B2068" t="s">
        <v>6</v>
      </c>
      <c r="C2068">
        <v>94.77</v>
      </c>
      <c r="D2068">
        <v>97.936199999999999</v>
      </c>
      <c r="E2068" s="1">
        <v>44501</v>
      </c>
      <c r="F2068">
        <f t="shared" si="64"/>
        <v>11</v>
      </c>
      <c r="G2068">
        <f t="shared" si="65"/>
        <v>2021</v>
      </c>
    </row>
    <row r="2069" spans="1:7" x14ac:dyDescent="0.25">
      <c r="A2069" t="s">
        <v>12</v>
      </c>
      <c r="B2069" t="s">
        <v>6</v>
      </c>
      <c r="C2069">
        <v>97.33</v>
      </c>
      <c r="D2069">
        <v>109.55959</v>
      </c>
      <c r="E2069" s="1">
        <v>44531</v>
      </c>
      <c r="F2069">
        <f t="shared" si="64"/>
        <v>12</v>
      </c>
      <c r="G2069">
        <f t="shared" si="65"/>
        <v>2021</v>
      </c>
    </row>
    <row r="2070" spans="1:7" x14ac:dyDescent="0.25">
      <c r="A2070" t="s">
        <v>12</v>
      </c>
      <c r="B2070" t="s">
        <v>6</v>
      </c>
      <c r="C2070">
        <v>97.44</v>
      </c>
      <c r="D2070">
        <v>91.866860000000003</v>
      </c>
      <c r="E2070" s="1">
        <v>44562</v>
      </c>
      <c r="F2070">
        <f t="shared" si="64"/>
        <v>1</v>
      </c>
      <c r="G2070">
        <f t="shared" si="65"/>
        <v>2022</v>
      </c>
    </row>
    <row r="2071" spans="1:7" x14ac:dyDescent="0.25">
      <c r="A2071" t="s">
        <v>12</v>
      </c>
      <c r="B2071" t="s">
        <v>6</v>
      </c>
      <c r="C2071">
        <v>98.08</v>
      </c>
      <c r="D2071">
        <v>88.293620000000004</v>
      </c>
      <c r="E2071" s="1">
        <v>44593</v>
      </c>
      <c r="F2071">
        <f t="shared" si="64"/>
        <v>2</v>
      </c>
      <c r="G2071">
        <f t="shared" si="65"/>
        <v>2022</v>
      </c>
    </row>
    <row r="2072" spans="1:7" x14ac:dyDescent="0.25">
      <c r="A2072" t="s">
        <v>12</v>
      </c>
      <c r="B2072" t="s">
        <v>6</v>
      </c>
      <c r="C2072">
        <v>97.41</v>
      </c>
      <c r="D2072">
        <v>98.323830000000001</v>
      </c>
      <c r="E2072" s="1">
        <v>44621</v>
      </c>
      <c r="F2072">
        <f t="shared" si="64"/>
        <v>3</v>
      </c>
      <c r="G2072">
        <f t="shared" si="65"/>
        <v>2022</v>
      </c>
    </row>
    <row r="2073" spans="1:7" x14ac:dyDescent="0.25">
      <c r="A2073" t="s">
        <v>12</v>
      </c>
      <c r="B2073" t="s">
        <v>6</v>
      </c>
      <c r="C2073">
        <v>98.18</v>
      </c>
      <c r="D2073">
        <v>93.525689999999997</v>
      </c>
      <c r="E2073" s="1">
        <v>44652</v>
      </c>
      <c r="F2073">
        <f t="shared" si="64"/>
        <v>4</v>
      </c>
      <c r="G2073">
        <f t="shared" si="65"/>
        <v>2022</v>
      </c>
    </row>
    <row r="2074" spans="1:7" x14ac:dyDescent="0.25">
      <c r="A2074" t="s">
        <v>12</v>
      </c>
      <c r="B2074" t="s">
        <v>6</v>
      </c>
      <c r="C2074">
        <v>99.22</v>
      </c>
      <c r="D2074">
        <v>98.064509999999999</v>
      </c>
      <c r="E2074" s="1">
        <v>44682</v>
      </c>
      <c r="F2074">
        <f t="shared" si="64"/>
        <v>5</v>
      </c>
      <c r="G2074">
        <f t="shared" si="65"/>
        <v>2022</v>
      </c>
    </row>
    <row r="2075" spans="1:7" x14ac:dyDescent="0.25">
      <c r="A2075" t="s">
        <v>12</v>
      </c>
      <c r="B2075" t="s">
        <v>6</v>
      </c>
      <c r="C2075">
        <v>99.17</v>
      </c>
      <c r="D2075">
        <v>99.380170000000007</v>
      </c>
      <c r="E2075" s="1">
        <v>44713</v>
      </c>
      <c r="F2075">
        <f t="shared" si="64"/>
        <v>6</v>
      </c>
      <c r="G2075">
        <f t="shared" si="65"/>
        <v>2022</v>
      </c>
    </row>
    <row r="2076" spans="1:7" x14ac:dyDescent="0.25">
      <c r="A2076" t="s">
        <v>12</v>
      </c>
      <c r="B2076" t="s">
        <v>6</v>
      </c>
      <c r="C2076">
        <v>100.31</v>
      </c>
      <c r="D2076">
        <v>99.807640000000006</v>
      </c>
      <c r="E2076" s="1">
        <v>44743</v>
      </c>
      <c r="F2076">
        <f t="shared" si="64"/>
        <v>7</v>
      </c>
      <c r="G2076">
        <f t="shared" si="65"/>
        <v>2022</v>
      </c>
    </row>
    <row r="2077" spans="1:7" x14ac:dyDescent="0.25">
      <c r="A2077" t="s">
        <v>12</v>
      </c>
      <c r="B2077" t="s">
        <v>6</v>
      </c>
      <c r="C2077">
        <v>102.48</v>
      </c>
      <c r="D2077">
        <v>104.23665</v>
      </c>
      <c r="E2077" s="1">
        <v>44774</v>
      </c>
      <c r="F2077">
        <f t="shared" si="64"/>
        <v>8</v>
      </c>
      <c r="G2077">
        <f t="shared" si="65"/>
        <v>2022</v>
      </c>
    </row>
    <row r="2078" spans="1:7" x14ac:dyDescent="0.25">
      <c r="A2078" t="s">
        <v>12</v>
      </c>
      <c r="B2078" t="s">
        <v>6</v>
      </c>
      <c r="C2078">
        <v>101.97</v>
      </c>
      <c r="D2078">
        <v>103.37774</v>
      </c>
      <c r="E2078" s="1">
        <v>44805</v>
      </c>
      <c r="F2078">
        <f t="shared" si="64"/>
        <v>9</v>
      </c>
      <c r="G2078">
        <f t="shared" si="65"/>
        <v>2022</v>
      </c>
    </row>
    <row r="2079" spans="1:7" x14ac:dyDescent="0.25">
      <c r="A2079" t="s">
        <v>12</v>
      </c>
      <c r="B2079" t="s">
        <v>6</v>
      </c>
      <c r="C2079">
        <v>102.97</v>
      </c>
      <c r="D2079">
        <v>104.09349</v>
      </c>
      <c r="E2079" s="1">
        <v>44835</v>
      </c>
      <c r="F2079">
        <f t="shared" si="64"/>
        <v>10</v>
      </c>
      <c r="G2079">
        <f t="shared" si="65"/>
        <v>2022</v>
      </c>
    </row>
    <row r="2080" spans="1:7" x14ac:dyDescent="0.25">
      <c r="A2080" t="s">
        <v>12</v>
      </c>
      <c r="B2080" t="s">
        <v>6</v>
      </c>
      <c r="C2080">
        <v>101.54</v>
      </c>
      <c r="D2080">
        <v>105.43322000000001</v>
      </c>
      <c r="E2080" s="1">
        <v>44866</v>
      </c>
      <c r="F2080">
        <f t="shared" si="64"/>
        <v>11</v>
      </c>
      <c r="G2080">
        <f t="shared" si="65"/>
        <v>2022</v>
      </c>
    </row>
    <row r="2081" spans="1:7" x14ac:dyDescent="0.25">
      <c r="A2081" t="s">
        <v>12</v>
      </c>
      <c r="B2081" t="s">
        <v>6</v>
      </c>
      <c r="C2081">
        <v>101.74</v>
      </c>
      <c r="D2081">
        <v>113.59657</v>
      </c>
      <c r="E2081" s="1">
        <v>44896</v>
      </c>
      <c r="F2081">
        <f t="shared" si="64"/>
        <v>12</v>
      </c>
      <c r="G2081">
        <f t="shared" si="65"/>
        <v>2022</v>
      </c>
    </row>
    <row r="2082" spans="1:7" x14ac:dyDescent="0.25">
      <c r="A2082" t="s">
        <v>12</v>
      </c>
      <c r="B2082" t="s">
        <v>6</v>
      </c>
      <c r="C2082">
        <v>98.99</v>
      </c>
      <c r="D2082">
        <v>94.398020000000002</v>
      </c>
      <c r="E2082" s="1">
        <v>44927</v>
      </c>
      <c r="F2082">
        <f t="shared" si="64"/>
        <v>1</v>
      </c>
      <c r="G2082">
        <f t="shared" si="65"/>
        <v>2023</v>
      </c>
    </row>
    <row r="2083" spans="1:7" x14ac:dyDescent="0.25">
      <c r="A2083" t="s">
        <v>12</v>
      </c>
      <c r="B2083" t="s">
        <v>6</v>
      </c>
      <c r="C2083">
        <v>99.93</v>
      </c>
      <c r="D2083">
        <v>89.988129999999998</v>
      </c>
      <c r="E2083" s="1">
        <v>44958</v>
      </c>
      <c r="F2083">
        <f t="shared" si="64"/>
        <v>2</v>
      </c>
      <c r="G2083">
        <f t="shared" si="65"/>
        <v>2023</v>
      </c>
    </row>
    <row r="2084" spans="1:7" x14ac:dyDescent="0.25">
      <c r="A2084" t="s">
        <v>12</v>
      </c>
      <c r="B2084" t="s">
        <v>6</v>
      </c>
      <c r="C2084">
        <v>100.98</v>
      </c>
      <c r="D2084">
        <v>102.06917</v>
      </c>
      <c r="E2084" s="1">
        <v>44986</v>
      </c>
      <c r="F2084">
        <f t="shared" si="64"/>
        <v>3</v>
      </c>
      <c r="G2084">
        <f t="shared" si="65"/>
        <v>2023</v>
      </c>
    </row>
    <row r="2085" spans="1:7" x14ac:dyDescent="0.25">
      <c r="A2085" t="s">
        <v>12</v>
      </c>
      <c r="B2085" t="s">
        <v>6</v>
      </c>
      <c r="C2085">
        <v>99.23</v>
      </c>
      <c r="D2085">
        <v>93.549530000000004</v>
      </c>
      <c r="E2085" s="1">
        <v>45017</v>
      </c>
      <c r="F2085">
        <f t="shared" si="64"/>
        <v>4</v>
      </c>
      <c r="G2085">
        <f t="shared" si="65"/>
        <v>2023</v>
      </c>
    </row>
    <row r="2086" spans="1:7" x14ac:dyDescent="0.25">
      <c r="A2086" t="s">
        <v>12</v>
      </c>
      <c r="B2086" t="s">
        <v>6</v>
      </c>
      <c r="C2086">
        <v>98.64</v>
      </c>
      <c r="D2086">
        <v>98.043049999999994</v>
      </c>
      <c r="E2086" s="1">
        <v>45047</v>
      </c>
      <c r="F2086">
        <f t="shared" si="64"/>
        <v>5</v>
      </c>
      <c r="G2086">
        <f t="shared" si="65"/>
        <v>2023</v>
      </c>
    </row>
    <row r="2087" spans="1:7" x14ac:dyDescent="0.25">
      <c r="A2087" t="s">
        <v>12</v>
      </c>
      <c r="B2087" t="s">
        <v>6</v>
      </c>
      <c r="C2087">
        <v>98.54</v>
      </c>
      <c r="D2087">
        <v>98.944770000000005</v>
      </c>
      <c r="E2087" s="1">
        <v>45078</v>
      </c>
      <c r="F2087">
        <f t="shared" si="64"/>
        <v>6</v>
      </c>
      <c r="G2087">
        <f t="shared" si="65"/>
        <v>2023</v>
      </c>
    </row>
    <row r="2088" spans="1:7" x14ac:dyDescent="0.25">
      <c r="A2088" t="s">
        <v>12</v>
      </c>
      <c r="B2088" t="s">
        <v>6</v>
      </c>
      <c r="C2088">
        <v>99.21</v>
      </c>
      <c r="D2088">
        <v>98.141469999999998</v>
      </c>
      <c r="E2088" s="1">
        <v>45108</v>
      </c>
      <c r="F2088">
        <f t="shared" si="64"/>
        <v>7</v>
      </c>
      <c r="G2088">
        <f t="shared" si="65"/>
        <v>2023</v>
      </c>
    </row>
    <row r="2089" spans="1:7" x14ac:dyDescent="0.25">
      <c r="A2089" t="s">
        <v>12</v>
      </c>
      <c r="B2089" t="s">
        <v>6</v>
      </c>
      <c r="C2089">
        <v>99.2</v>
      </c>
      <c r="D2089">
        <v>101.15075</v>
      </c>
      <c r="E2089" s="1">
        <v>45139</v>
      </c>
      <c r="F2089">
        <f t="shared" si="64"/>
        <v>8</v>
      </c>
      <c r="G2089">
        <f t="shared" si="65"/>
        <v>2023</v>
      </c>
    </row>
    <row r="2090" spans="1:7" x14ac:dyDescent="0.25">
      <c r="A2090" t="s">
        <v>12</v>
      </c>
      <c r="B2090" t="s">
        <v>6</v>
      </c>
      <c r="C2090">
        <v>98.06</v>
      </c>
      <c r="D2090">
        <v>98.59581</v>
      </c>
      <c r="E2090" s="1">
        <v>45170</v>
      </c>
      <c r="F2090">
        <f t="shared" si="64"/>
        <v>9</v>
      </c>
      <c r="G2090">
        <f t="shared" si="65"/>
        <v>2023</v>
      </c>
    </row>
    <row r="2091" spans="1:7" x14ac:dyDescent="0.25">
      <c r="A2091" t="s">
        <v>12</v>
      </c>
      <c r="B2091" t="s">
        <v>6</v>
      </c>
      <c r="C2091">
        <v>98.47</v>
      </c>
      <c r="D2091">
        <v>100.62967999999999</v>
      </c>
      <c r="E2091" s="1">
        <v>45200</v>
      </c>
      <c r="F2091">
        <f t="shared" si="64"/>
        <v>10</v>
      </c>
      <c r="G2091">
        <f t="shared" si="65"/>
        <v>2023</v>
      </c>
    </row>
    <row r="2092" spans="1:7" x14ac:dyDescent="0.25">
      <c r="A2092" t="s">
        <v>12</v>
      </c>
      <c r="B2092" t="s">
        <v>6</v>
      </c>
      <c r="C2092">
        <v>100.73</v>
      </c>
      <c r="D2092">
        <v>104.31301999999999</v>
      </c>
      <c r="E2092" s="1">
        <v>45231</v>
      </c>
      <c r="F2092">
        <f t="shared" si="64"/>
        <v>11</v>
      </c>
      <c r="G2092">
        <f t="shared" si="65"/>
        <v>2023</v>
      </c>
    </row>
    <row r="2093" spans="1:7" x14ac:dyDescent="0.25">
      <c r="A2093" t="s">
        <v>12</v>
      </c>
      <c r="B2093" t="s">
        <v>6</v>
      </c>
      <c r="C2093">
        <v>100.71</v>
      </c>
      <c r="D2093">
        <v>111.80716</v>
      </c>
      <c r="E2093" s="1">
        <v>45261</v>
      </c>
      <c r="F2093">
        <f t="shared" si="64"/>
        <v>12</v>
      </c>
      <c r="G2093">
        <f t="shared" si="65"/>
        <v>2023</v>
      </c>
    </row>
    <row r="2094" spans="1:7" x14ac:dyDescent="0.25">
      <c r="A2094" t="s">
        <v>12</v>
      </c>
      <c r="B2094" t="s">
        <v>6</v>
      </c>
      <c r="C2094">
        <v>102.97</v>
      </c>
      <c r="D2094">
        <v>98.955860000000001</v>
      </c>
      <c r="E2094" s="1">
        <v>45292</v>
      </c>
      <c r="F2094">
        <f t="shared" si="64"/>
        <v>1</v>
      </c>
      <c r="G2094">
        <f t="shared" si="65"/>
        <v>2024</v>
      </c>
    </row>
    <row r="2095" spans="1:7" x14ac:dyDescent="0.25">
      <c r="A2095" t="s">
        <v>12</v>
      </c>
      <c r="B2095" t="s">
        <v>6</v>
      </c>
      <c r="C2095">
        <v>99.53</v>
      </c>
      <c r="D2095">
        <v>92.973479999999995</v>
      </c>
      <c r="E2095" s="1">
        <v>45323</v>
      </c>
      <c r="F2095">
        <f t="shared" si="64"/>
        <v>2</v>
      </c>
      <c r="G2095">
        <f t="shared" si="65"/>
        <v>2024</v>
      </c>
    </row>
    <row r="2096" spans="1:7" x14ac:dyDescent="0.25">
      <c r="A2096" t="s">
        <v>12</v>
      </c>
      <c r="B2096" t="s">
        <v>6</v>
      </c>
      <c r="C2096">
        <v>103.1</v>
      </c>
      <c r="D2096">
        <v>101.46176</v>
      </c>
      <c r="E2096" s="1">
        <v>45352</v>
      </c>
      <c r="F2096">
        <f t="shared" si="64"/>
        <v>3</v>
      </c>
      <c r="G2096">
        <f t="shared" si="65"/>
        <v>2024</v>
      </c>
    </row>
    <row r="2097" spans="1:7" x14ac:dyDescent="0.25">
      <c r="A2097" t="s">
        <v>12</v>
      </c>
      <c r="B2097" t="s">
        <v>6</v>
      </c>
      <c r="C2097">
        <v>103.6</v>
      </c>
      <c r="D2097">
        <v>100.33358</v>
      </c>
      <c r="E2097" s="1">
        <v>45383</v>
      </c>
      <c r="F2097">
        <f t="shared" si="64"/>
        <v>4</v>
      </c>
      <c r="G2097">
        <f t="shared" si="65"/>
        <v>2024</v>
      </c>
    </row>
    <row r="2098" spans="1:7" x14ac:dyDescent="0.25">
      <c r="A2098" t="s">
        <v>12</v>
      </c>
      <c r="B2098" t="s">
        <v>6</v>
      </c>
      <c r="C2098">
        <v>101.79</v>
      </c>
      <c r="D2098">
        <v>100.75049</v>
      </c>
      <c r="E2098" s="1">
        <v>45413</v>
      </c>
      <c r="F2098">
        <f t="shared" si="64"/>
        <v>5</v>
      </c>
      <c r="G2098">
        <f t="shared" si="65"/>
        <v>2024</v>
      </c>
    </row>
    <row r="2099" spans="1:7" x14ac:dyDescent="0.25">
      <c r="A2099" t="s">
        <v>12</v>
      </c>
      <c r="B2099" t="s">
        <v>6</v>
      </c>
      <c r="C2099">
        <v>103.99</v>
      </c>
      <c r="D2099">
        <v>103.16072</v>
      </c>
      <c r="E2099" s="1">
        <v>45444</v>
      </c>
      <c r="F2099">
        <f t="shared" si="64"/>
        <v>6</v>
      </c>
      <c r="G2099">
        <f t="shared" si="65"/>
        <v>2024</v>
      </c>
    </row>
    <row r="2100" spans="1:7" x14ac:dyDescent="0.25">
      <c r="A2100" t="s">
        <v>12</v>
      </c>
      <c r="B2100" t="s">
        <v>6</v>
      </c>
      <c r="C2100">
        <v>103.85</v>
      </c>
      <c r="D2100">
        <v>104.67048</v>
      </c>
      <c r="E2100" s="1">
        <v>45474</v>
      </c>
      <c r="F2100">
        <f t="shared" si="64"/>
        <v>7</v>
      </c>
      <c r="G2100">
        <f t="shared" si="65"/>
        <v>2024</v>
      </c>
    </row>
    <row r="2101" spans="1:7" x14ac:dyDescent="0.25">
      <c r="A2101" t="s">
        <v>12</v>
      </c>
      <c r="B2101" t="s">
        <v>6</v>
      </c>
      <c r="C2101">
        <v>104.02</v>
      </c>
      <c r="D2101">
        <v>105.33899</v>
      </c>
      <c r="E2101" s="1">
        <v>45505</v>
      </c>
      <c r="F2101">
        <f t="shared" si="64"/>
        <v>8</v>
      </c>
      <c r="G2101">
        <f t="shared" si="65"/>
        <v>2024</v>
      </c>
    </row>
    <row r="2102" spans="1:7" x14ac:dyDescent="0.25">
      <c r="A2102" t="s">
        <v>12</v>
      </c>
      <c r="B2102" t="s">
        <v>6</v>
      </c>
      <c r="C2102">
        <v>105.02</v>
      </c>
      <c r="D2102">
        <v>104.89839000000001</v>
      </c>
      <c r="E2102" s="1">
        <v>45536</v>
      </c>
      <c r="F2102">
        <f t="shared" si="64"/>
        <v>9</v>
      </c>
      <c r="G2102">
        <f t="shared" si="65"/>
        <v>2024</v>
      </c>
    </row>
    <row r="2103" spans="1:7" x14ac:dyDescent="0.25">
      <c r="A2103" t="s">
        <v>12</v>
      </c>
      <c r="B2103" t="s">
        <v>6</v>
      </c>
      <c r="C2103">
        <v>105.6</v>
      </c>
      <c r="D2103">
        <v>108.92171</v>
      </c>
      <c r="E2103" s="1">
        <v>45566</v>
      </c>
      <c r="F2103">
        <f t="shared" si="64"/>
        <v>10</v>
      </c>
      <c r="G2103">
        <f t="shared" si="65"/>
        <v>2024</v>
      </c>
    </row>
    <row r="2104" spans="1:7" x14ac:dyDescent="0.25">
      <c r="A2104" t="s">
        <v>12</v>
      </c>
      <c r="B2104" t="s">
        <v>6</v>
      </c>
      <c r="C2104">
        <v>104.94</v>
      </c>
      <c r="D2104">
        <v>108.23779</v>
      </c>
      <c r="E2104" s="1">
        <v>45597</v>
      </c>
      <c r="F2104">
        <f t="shared" si="64"/>
        <v>11</v>
      </c>
      <c r="G2104">
        <f t="shared" si="65"/>
        <v>2024</v>
      </c>
    </row>
    <row r="2105" spans="1:7" x14ac:dyDescent="0.25">
      <c r="A2105" t="s">
        <v>12</v>
      </c>
      <c r="B2105" t="s">
        <v>6</v>
      </c>
      <c r="C2105">
        <v>103.48</v>
      </c>
      <c r="D2105">
        <v>115.3305</v>
      </c>
      <c r="E2105" s="1">
        <v>45627</v>
      </c>
      <c r="F2105">
        <f t="shared" si="64"/>
        <v>12</v>
      </c>
      <c r="G2105">
        <f t="shared" si="65"/>
        <v>2024</v>
      </c>
    </row>
    <row r="2106" spans="1:7" x14ac:dyDescent="0.25">
      <c r="A2106" t="s">
        <v>12</v>
      </c>
      <c r="B2106" t="s">
        <v>6</v>
      </c>
      <c r="C2106">
        <v>105.8</v>
      </c>
      <c r="D2106">
        <v>102.03033000000001</v>
      </c>
      <c r="E2106" s="1">
        <v>45658</v>
      </c>
      <c r="F2106">
        <f t="shared" si="64"/>
        <v>1</v>
      </c>
      <c r="G2106">
        <f t="shared" si="65"/>
        <v>2025</v>
      </c>
    </row>
    <row r="2107" spans="1:7" x14ac:dyDescent="0.25">
      <c r="A2107" t="s">
        <v>12</v>
      </c>
      <c r="B2107" t="s">
        <v>6</v>
      </c>
      <c r="C2107">
        <v>106.66</v>
      </c>
      <c r="D2107">
        <v>98.340590000000006</v>
      </c>
      <c r="E2107" s="1">
        <v>45689</v>
      </c>
      <c r="F2107">
        <f t="shared" si="64"/>
        <v>2</v>
      </c>
      <c r="G2107">
        <f t="shared" si="65"/>
        <v>2025</v>
      </c>
    </row>
    <row r="2108" spans="1:7" x14ac:dyDescent="0.25">
      <c r="A2108" t="s">
        <v>12</v>
      </c>
      <c r="B2108" t="s">
        <v>6</v>
      </c>
      <c r="C2108">
        <v>106.97</v>
      </c>
      <c r="D2108">
        <v>103.71921</v>
      </c>
      <c r="E2108" s="1">
        <v>45717</v>
      </c>
      <c r="F2108">
        <f t="shared" si="64"/>
        <v>3</v>
      </c>
      <c r="G2108">
        <f t="shared" si="65"/>
        <v>2025</v>
      </c>
    </row>
    <row r="2109" spans="1:7" x14ac:dyDescent="0.25">
      <c r="A2109" t="s">
        <v>12</v>
      </c>
      <c r="B2109" t="s">
        <v>6</v>
      </c>
      <c r="C2109">
        <v>107.55</v>
      </c>
      <c r="D2109">
        <v>103.17384</v>
      </c>
      <c r="E2109" s="1">
        <v>45748</v>
      </c>
      <c r="F2109">
        <f t="shared" si="64"/>
        <v>4</v>
      </c>
      <c r="G2109">
        <f t="shared" si="65"/>
        <v>2025</v>
      </c>
    </row>
    <row r="2110" spans="1:7" x14ac:dyDescent="0.25">
      <c r="A2110" t="s">
        <v>12</v>
      </c>
      <c r="B2110" t="s">
        <v>6</v>
      </c>
      <c r="C2110">
        <v>108.4</v>
      </c>
      <c r="D2110">
        <v>106.84707</v>
      </c>
      <c r="E2110" s="1">
        <v>45778</v>
      </c>
      <c r="F2110">
        <f t="shared" si="64"/>
        <v>5</v>
      </c>
      <c r="G2110">
        <f t="shared" si="65"/>
        <v>2025</v>
      </c>
    </row>
    <row r="2111" spans="1:7" x14ac:dyDescent="0.25">
      <c r="A2111" t="s">
        <v>12</v>
      </c>
      <c r="B2111" t="s">
        <v>6</v>
      </c>
      <c r="C2111">
        <v>108.62</v>
      </c>
      <c r="D2111">
        <v>107.59963999999999</v>
      </c>
      <c r="E2111" s="1">
        <v>45809</v>
      </c>
      <c r="F2111">
        <f t="shared" si="64"/>
        <v>6</v>
      </c>
      <c r="G2111">
        <f t="shared" si="65"/>
        <v>2025</v>
      </c>
    </row>
    <row r="2112" spans="1:7" x14ac:dyDescent="0.25">
      <c r="A2112" t="s">
        <v>12</v>
      </c>
      <c r="B2112" t="s">
        <v>6</v>
      </c>
      <c r="C2112">
        <v>109.96</v>
      </c>
      <c r="D2112">
        <v>111.14796</v>
      </c>
      <c r="E2112" s="1">
        <v>45839</v>
      </c>
      <c r="F2112">
        <f t="shared" si="64"/>
        <v>7</v>
      </c>
      <c r="G2112">
        <f t="shared" si="65"/>
        <v>2025</v>
      </c>
    </row>
    <row r="2113" spans="1:7" x14ac:dyDescent="0.25">
      <c r="A2113" t="s">
        <v>12</v>
      </c>
      <c r="B2113" t="s">
        <v>6</v>
      </c>
      <c r="C2113">
        <v>108.74</v>
      </c>
      <c r="D2113">
        <v>109.56113000000001</v>
      </c>
      <c r="E2113" s="1">
        <v>45870</v>
      </c>
      <c r="F2113">
        <f t="shared" si="64"/>
        <v>8</v>
      </c>
      <c r="G2113">
        <f t="shared" si="65"/>
        <v>2025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MEDIA ANUAL SEM AJUSTE SAZONAL</vt:lpstr>
      <vt:lpstr>MEDIA MENSAL SEM AJUSTE SAZONAL</vt:lpstr>
      <vt:lpstr>MEDIANA MENSAL COM AJUSTE SAZON</vt:lpstr>
      <vt:lpstr>base-pms_spbrasil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2025-11-28T01:38:09Z</dcterms:created>
  <dcterms:modified xsi:type="dcterms:W3CDTF">2025-11-28T01:38:09Z</dcterms:modified>
</cp:coreProperties>
</file>